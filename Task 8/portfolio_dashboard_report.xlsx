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/>
  <xr:revisionPtr revIDLastSave="0" documentId="8_{FD300804-196D-4C3B-829E-614935805686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RawData" sheetId="1" r:id="rId1"/>
    <sheet name="PivotByYear" sheetId="2" r:id="rId2"/>
    <sheet name="PivotByQuarter" sheetId="3" r:id="rId3"/>
    <sheet name="Dashboard" sheetId="4" r:id="rId4"/>
  </sheets>
  <definedNames>
    <definedName name="_xlnm.Print_Area" localSheetId="0">RawData!$A$1:$P$1521</definedName>
    <definedName name="_xlnm.Print_Area" localSheetId="1">PivotByYear!$A$1:$I$35</definedName>
    <definedName name="_xlnm.Print_Area" localSheetId="2">PivotByQuarter!$A$1:$J$50</definedName>
    <definedName name="_xlnm.Print_Area" localSheetId="3">Dashboard!$A$1:$M$60</definedName>
    <definedName name="Slicer_YEAR">#N/A</definedName>
  </definedNames>
  <calcPr calcId="191028"/>
  <pivotCaches>
    <pivotCache cacheId="24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2" i="1" l="1"/>
  <c r="B3" i="4"/>
  <c r="B4" i="4"/>
  <c r="B5" i="4"/>
  <c r="B6" i="4"/>
  <c r="B7" i="4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3" i="1"/>
  <c r="L4" i="1"/>
  <c r="L5" i="1"/>
  <c r="L6" i="1"/>
  <c r="L7" i="1"/>
  <c r="L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2" i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2" i="1"/>
  <c r="M2" i="1" s="1"/>
  <c r="P2" i="1" l="1"/>
  <c r="O2" i="1"/>
</calcChain>
</file>

<file path=xl/sharedStrings.xml><?xml version="1.0" encoding="utf-8"?>
<sst xmlns="http://schemas.openxmlformats.org/spreadsheetml/2006/main" count="64" uniqueCount="38">
  <si>
    <t>Date</t>
  </si>
  <si>
    <t>AMZN</t>
  </si>
  <si>
    <t>DPZ</t>
  </si>
  <si>
    <t>BTC</t>
  </si>
  <si>
    <t>NFLX</t>
  </si>
  <si>
    <t>YEAR</t>
  </si>
  <si>
    <t>MONTH</t>
  </si>
  <si>
    <t>QUARTER</t>
  </si>
  <si>
    <t>AMZN Change %</t>
  </si>
  <si>
    <t>BTC Change %</t>
  </si>
  <si>
    <t>Volatility Flag</t>
  </si>
  <si>
    <t>Date (Numeric)</t>
  </si>
  <si>
    <t>Total AMZN Price (2015)</t>
  </si>
  <si>
    <t>Days BTC &gt; $1000</t>
  </si>
  <si>
    <t>AMZN price on 1/15/2016 (XLOOKUP)</t>
  </si>
  <si>
    <t>AMZN price (INDEX-MATCH)</t>
  </si>
  <si>
    <t>Average of DPZ</t>
  </si>
  <si>
    <t>Average of NFLX</t>
  </si>
  <si>
    <t>Average of BTC</t>
  </si>
  <si>
    <t>Average of AMZN</t>
  </si>
  <si>
    <t>Grand Total</t>
  </si>
  <si>
    <t>Q2</t>
  </si>
  <si>
    <t>Q3</t>
  </si>
  <si>
    <t>Q4</t>
  </si>
  <si>
    <t>2013 Total</t>
  </si>
  <si>
    <t>Q1</t>
  </si>
  <si>
    <t>2014 Total</t>
  </si>
  <si>
    <t>2015 Total</t>
  </si>
  <si>
    <t>2016 Total</t>
  </si>
  <si>
    <t>2017 Total</t>
  </si>
  <si>
    <t>2018 Total</t>
  </si>
  <si>
    <t>2019 Total</t>
  </si>
  <si>
    <t>Portfolio Performance Dashboard (AMZN, BTC, DPZ, NFLX)</t>
  </si>
  <si>
    <t>Highest BTC Price:</t>
  </si>
  <si>
    <t>Lowest BTC Price:</t>
  </si>
  <si>
    <t>AMZN Total Growth:</t>
  </si>
  <si>
    <t>Days BTC Closed Above $1000:</t>
  </si>
  <si>
    <t>Total AMZN Price Sum (2015):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</si>
</sst>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0"/>
      <color theme="9"/>
      <name val="Arial"/>
      <family val="2"/>
    </font>
    <font>
      <b/>
      <sz val="10"/>
      <color rgb="FF0070C0"/>
      <name val="Arial"/>
      <family val="2"/>
    </font>
    <font>
      <b/>
      <sz val="10"/>
      <color rgb="FF0070C0"/>
      <name val="Arial"/>
    </font>
    <font>
      <sz val="18"/>
      <color theme="6" tint="-0.249977111117893"/>
      <name val="Franklin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readingOrder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4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[portfolio_dashboard_report.xlsx]PivotByYear!PivotTable1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C9211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C9211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PivotByYear!$B$3</c:f>
              <c:strCache>
                <c:ptCount val="1"/>
                <c:pt idx="0">
                  <c:v>Average of DPZ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PivotByYear!$A$4:$A$11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PivotByYear!$B$4:$B$11</c:f>
              <c:numCache>
                <c:formatCode>General</c:formatCode>
                <c:ptCount val="7"/>
                <c:pt idx="0">
                  <c:v>60.223759635294108</c:v>
                </c:pt>
                <c:pt idx="1">
                  <c:v>74.058892924603143</c:v>
                </c:pt>
                <c:pt idx="2">
                  <c:v>102.73598665476194</c:v>
                </c:pt>
                <c:pt idx="3">
                  <c:v>135.24066761904763</c:v>
                </c:pt>
                <c:pt idx="4">
                  <c:v>186.01384209163348</c:v>
                </c:pt>
                <c:pt idx="5">
                  <c:v>252.84710825498021</c:v>
                </c:pt>
                <c:pt idx="6">
                  <c:v>261.607397673913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2-4013-9ABA-2EC67E555E7E}"/>
            </c:ext>
          </c:extLst>
        </c:ser>
        <c:ser>
          <c:idx val="1"/>
          <c:order val="1"/>
          <c:tx>
            <c:strRef>
              <c:f>PivotByYear!$C$3</c:f>
              <c:strCache>
                <c:ptCount val="1"/>
                <c:pt idx="0">
                  <c:v>Average of NFLX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PivotByYear!$A$4:$A$11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PivotByYear!$C$4:$C$11</c:f>
              <c:numCache>
                <c:formatCode>General</c:formatCode>
                <c:ptCount val="7"/>
                <c:pt idx="0">
                  <c:v>40.823025000000001</c:v>
                </c:pt>
                <c:pt idx="1">
                  <c:v>57.495119043650796</c:v>
                </c:pt>
                <c:pt idx="2">
                  <c:v>91.895674408730258</c:v>
                </c:pt>
                <c:pt idx="3">
                  <c:v>102.03035719841262</c:v>
                </c:pt>
                <c:pt idx="4">
                  <c:v>165.37426305976106</c:v>
                </c:pt>
                <c:pt idx="5">
                  <c:v>319.29031900796809</c:v>
                </c:pt>
                <c:pt idx="6">
                  <c:v>353.33608704347824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D2-4013-9ABA-2EC67E555E7E}"/>
            </c:ext>
          </c:extLst>
        </c:ser>
        <c:ser>
          <c:idx val="2"/>
          <c:order val="2"/>
          <c:tx>
            <c:strRef>
              <c:f>PivotByYear!$D$3</c:f>
              <c:strCache>
                <c:ptCount val="1"/>
                <c:pt idx="0">
                  <c:v>Average of BTC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PivotByYear!$A$4:$A$11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PivotByYear!$D$4:$D$11</c:f>
              <c:numCache>
                <c:formatCode>General</c:formatCode>
                <c:ptCount val="7"/>
                <c:pt idx="0">
                  <c:v>268.08811821764704</c:v>
                </c:pt>
                <c:pt idx="1">
                  <c:v>521.88214262301551</c:v>
                </c:pt>
                <c:pt idx="2">
                  <c:v>272.11694412301586</c:v>
                </c:pt>
                <c:pt idx="3">
                  <c:v>567.78301724603182</c:v>
                </c:pt>
                <c:pt idx="4">
                  <c:v>3981.5319698007947</c:v>
                </c:pt>
                <c:pt idx="5">
                  <c:v>7524.1075397729019</c:v>
                </c:pt>
                <c:pt idx="6">
                  <c:v>4390.9590109239125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D2-4013-9ABA-2EC67E555E7E}"/>
            </c:ext>
          </c:extLst>
        </c:ser>
        <c:ser>
          <c:idx val="3"/>
          <c:order val="3"/>
          <c:tx>
            <c:strRef>
              <c:f>PivotByYear!$E$3</c:f>
              <c:strCache>
                <c:ptCount val="1"/>
                <c:pt idx="0">
                  <c:v>Average of AMZN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PivotByYear!$A$4:$A$11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PivotByYear!$E$4:$E$11</c:f>
              <c:numCache>
                <c:formatCode>General</c:formatCode>
                <c:ptCount val="7"/>
                <c:pt idx="0">
                  <c:v>313.85282430588234</c:v>
                </c:pt>
                <c:pt idx="1">
                  <c:v>332.55103267857135</c:v>
                </c:pt>
                <c:pt idx="2">
                  <c:v>478.13829512698419</c:v>
                </c:pt>
                <c:pt idx="3">
                  <c:v>699.5231348611112</c:v>
                </c:pt>
                <c:pt idx="4">
                  <c:v>968.16701164541848</c:v>
                </c:pt>
                <c:pt idx="5">
                  <c:v>1641.7261758486059</c:v>
                </c:pt>
                <c:pt idx="6">
                  <c:v>1736.2156531739131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D2-4013-9ABA-2EC67E555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296007"/>
        <c:axId val="239277575"/>
      </c:lineChart>
      <c:catAx>
        <c:axId val="239296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77575"/>
        <c:crosses val="autoZero"/>
        <c:auto val="1"/>
        <c:lblAlgn val="ctr"/>
        <c:lblOffset val="100"/>
        <c:noMultiLvlLbl val="0"/>
      </c:catAx>
      <c:valAx>
        <c:axId val="23927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96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[portfolio_dashboard_report.xlsx]PivotByQuarter!PivotTable2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A33E03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Pivot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A33E03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PivotByQuarter!$C$3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PivotByQuarter!$A$4:$B$36</c:f>
              <c:multiLvlStrCache>
                <c:ptCount val="25"/>
                <c:lvl>
                  <c:pt idx="0">
                    <c:v>Q2</c:v>
                  </c:pt>
                  <c:pt idx="1">
                    <c:v>Q3</c:v>
                  </c:pt>
                  <c:pt idx="2">
                    <c:v>Q4</c:v>
                  </c:pt>
                  <c:pt idx="3">
                    <c:v>Q1</c:v>
                  </c:pt>
                  <c:pt idx="4">
                    <c:v>Q2</c:v>
                  </c:pt>
                  <c:pt idx="5">
                    <c:v>Q3</c:v>
                  </c:pt>
                  <c:pt idx="6">
                    <c:v>Q4</c:v>
                  </c:pt>
                  <c:pt idx="7">
                    <c:v>Q1</c:v>
                  </c:pt>
                  <c:pt idx="8">
                    <c:v>Q2</c:v>
                  </c:pt>
                  <c:pt idx="9">
                    <c:v>Q3</c:v>
                  </c:pt>
                  <c:pt idx="10">
                    <c:v>Q4</c:v>
                  </c:pt>
                  <c:pt idx="11">
                    <c:v>Q1</c:v>
                  </c:pt>
                  <c:pt idx="12">
                    <c:v>Q2</c:v>
                  </c:pt>
                  <c:pt idx="13">
                    <c:v>Q3</c:v>
                  </c:pt>
                  <c:pt idx="14">
                    <c:v>Q4</c:v>
                  </c:pt>
                  <c:pt idx="15">
                    <c:v>Q1</c:v>
                  </c:pt>
                  <c:pt idx="16">
                    <c:v>Q2</c:v>
                  </c:pt>
                  <c:pt idx="17">
                    <c:v>Q3</c:v>
                  </c:pt>
                  <c:pt idx="18">
                    <c:v>Q4</c:v>
                  </c:pt>
                  <c:pt idx="19">
                    <c:v>Q1</c:v>
                  </c:pt>
                  <c:pt idx="20">
                    <c:v>Q2</c:v>
                  </c:pt>
                  <c:pt idx="21">
                    <c:v>Q3</c:v>
                  </c:pt>
                  <c:pt idx="22">
                    <c:v>Q4</c:v>
                  </c:pt>
                  <c:pt idx="23">
                    <c:v>Q1</c:v>
                  </c:pt>
                  <c:pt idx="24">
                    <c:v>Q2</c:v>
                  </c:pt>
                </c:lvl>
                <c:lvl>
                  <c:pt idx="0">
                    <c:v>2013</c:v>
                  </c:pt>
                  <c:pt idx="3">
                    <c:v>2014</c:v>
                  </c:pt>
                  <c:pt idx="7">
                    <c:v>2015</c:v>
                  </c:pt>
                  <c:pt idx="11">
                    <c:v>2016</c:v>
                  </c:pt>
                  <c:pt idx="15">
                    <c:v>2017</c:v>
                  </c:pt>
                  <c:pt idx="19">
                    <c:v>2018</c:v>
                  </c:pt>
                  <c:pt idx="23">
                    <c:v>2019</c:v>
                  </c:pt>
                </c:lvl>
              </c:multiLvlStrCache>
            </c:multiLvlStrRef>
          </c:cat>
          <c:val>
            <c:numRef>
              <c:f>PivotByQuarter!$C$4:$C$36</c:f>
              <c:numCache>
                <c:formatCode>General</c:formatCode>
                <c:ptCount val="25"/>
                <c:pt idx="0">
                  <c:v>113.80928635714284</c:v>
                </c:pt>
                <c:pt idx="1">
                  <c:v>114.10703117187502</c:v>
                </c:pt>
                <c:pt idx="2">
                  <c:v>523.31468867187505</c:v>
                </c:pt>
                <c:pt idx="3">
                  <c:v>681.45278708196736</c:v>
                </c:pt>
                <c:pt idx="4">
                  <c:v>522.68745933333344</c:v>
                </c:pt>
                <c:pt idx="5">
                  <c:v>533.42156315625016</c:v>
                </c:pt>
                <c:pt idx="6">
                  <c:v>357.45921795312495</c:v>
                </c:pt>
                <c:pt idx="7">
                  <c:v>250.72721204918031</c:v>
                </c:pt>
                <c:pt idx="8">
                  <c:v>236.60412692063497</c:v>
                </c:pt>
                <c:pt idx="9">
                  <c:v>253.99374939062503</c:v>
                </c:pt>
                <c:pt idx="10">
                  <c:v>345.58515667187504</c:v>
                </c:pt>
                <c:pt idx="11">
                  <c:v>410.25131227868866</c:v>
                </c:pt>
                <c:pt idx="12">
                  <c:v>512.84140879687493</c:v>
                </c:pt>
                <c:pt idx="13">
                  <c:v>612.65406224999992</c:v>
                </c:pt>
                <c:pt idx="14">
                  <c:v>730.54412936507924</c:v>
                </c:pt>
                <c:pt idx="15">
                  <c:v>1041.9640364999998</c:v>
                </c:pt>
                <c:pt idx="16">
                  <c:v>1951.8736650158726</c:v>
                </c:pt>
                <c:pt idx="17">
                  <c:v>3525.4628654126982</c:v>
                </c:pt>
                <c:pt idx="18">
                  <c:v>9360.1675038095236</c:v>
                </c:pt>
                <c:pt idx="19">
                  <c:v>10369.980173311473</c:v>
                </c:pt>
                <c:pt idx="20">
                  <c:v>7745.704368624999</c:v>
                </c:pt>
                <c:pt idx="21">
                  <c:v>6802.7120768730156</c:v>
                </c:pt>
                <c:pt idx="22">
                  <c:v>5264.8612932698416</c:v>
                </c:pt>
                <c:pt idx="23">
                  <c:v>3772.8486808360653</c:v>
                </c:pt>
                <c:pt idx="24">
                  <c:v>5607.2406281935464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41-49EE-A676-24D75495B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286279"/>
        <c:axId val="267064327"/>
      </c:lineChart>
      <c:catAx>
        <c:axId val="239286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064327"/>
        <c:crosses val="autoZero"/>
        <c:auto val="1"/>
        <c:lblAlgn val="ctr"/>
        <c:lblOffset val="100"/>
        <c:noMultiLvlLbl val="0"/>
      </c:catAx>
      <c:valAx>
        <c:axId val="26706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86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12</xdr:row>
      <xdr:rowOff>19050</xdr:rowOff>
    </xdr:from>
    <xdr:to>
      <xdr:col>3</xdr:col>
      <xdr:colOff>495300</xdr:colOff>
      <xdr:row>28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YEAR">
              <a:extLst>
                <a:ext uri="{FF2B5EF4-FFF2-40B4-BE49-F238E27FC236}">
                  <a16:creationId xmlns:a16="http://schemas.microsoft.com/office/drawing/2014/main" id="{99E219E6-7DBC-4A0B-0C2F-39D1D0537F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3525" y="1962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10</xdr:row>
      <xdr:rowOff>47625</xdr:rowOff>
    </xdr:from>
    <xdr:to>
      <xdr:col>1</xdr:col>
      <xdr:colOff>2828925</xdr:colOff>
      <xdr:row>27</xdr:row>
      <xdr:rowOff>38100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07C5D49-D567-4A60-B332-8EE4EC1C2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647700</xdr:colOff>
      <xdr:row>29</xdr:row>
      <xdr:rowOff>0</xdr:rowOff>
    </xdr:from>
    <xdr:to>
      <xdr:col>1</xdr:col>
      <xdr:colOff>2886075</xdr:colOff>
      <xdr:row>45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425DBE9-96AA-4D5B-A1E4-7FD27E6245DE}"/>
            </a:ext>
            <a:ext uri="{147F2762-F138-4A5C-976F-8EAC2B608ADB}">
              <a16:predDERef xmlns:a16="http://schemas.microsoft.com/office/drawing/2014/main" pred="{B07C5D49-D567-4A60-B332-8EE4EC1C2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8.641563194447" createdVersion="8" refreshedVersion="8" minRefreshableVersion="3" recordCount="1520" xr:uid="{6D37B861-87F9-4226-932B-2E7996AFB24A}">
  <cacheSource type="worksheet">
    <worksheetSource ref="A1:K1521" sheet="RawData"/>
  </cacheSource>
  <cacheFields count="11">
    <cacheField name="Date" numFmtId="14">
      <sharedItems containsSemiMixedTypes="0" containsNonDate="0" containsDate="1" containsString="0" minDate="2013-05-01T00:00:00" maxDate="2019-05-15T00:00:00"/>
    </cacheField>
    <cacheField name="AMZN" numFmtId="0">
      <sharedItems containsSemiMixedTypes="0" containsString="0" containsNumber="1" minValue="248.229996" maxValue="2039.51001"/>
    </cacheField>
    <cacheField name="DPZ" numFmtId="0">
      <sharedItems containsSemiMixedTypes="0" containsString="0" containsNumber="1" minValue="51.190983000000003" maxValue="298.635986"/>
    </cacheField>
    <cacheField name="BTC" numFmtId="0">
      <sharedItems containsSemiMixedTypes="0" containsString="0" containsNumber="1" minValue="69.660004000000001" maxValue="18972.320309999999"/>
    </cacheField>
    <cacheField name="NFLX" numFmtId="0">
      <sharedItems containsSemiMixedTypes="0" containsString="0" containsNumber="1" minValue="29.464285" maxValue="418.97000100000002"/>
    </cacheField>
    <cacheField name="YEAR" numFmtId="0">
      <sharedItems containsSemiMixedTypes="0" containsString="0" containsNumber="1" containsInteger="1" minValue="2013" maxValue="2019" count="7">
        <n v="2013"/>
        <n v="2014"/>
        <n v="2015"/>
        <n v="2016"/>
        <n v="2017"/>
        <n v="2018"/>
        <n v="2019"/>
      </sharedItems>
    </cacheField>
    <cacheField name="MONTH" numFmtId="0">
      <sharedItems/>
    </cacheField>
    <cacheField name="QUARTER" numFmtId="0">
      <sharedItems count="4">
        <s v="Q2"/>
        <s v="Q3"/>
        <s v="Q4"/>
        <s v="Q1"/>
      </sharedItems>
    </cacheField>
    <cacheField name="AMZN Change %" numFmtId="0">
      <sharedItems containsSemiMixedTypes="0" containsString="0" containsNumber="1" minValue="-1" maxValue="0.14131136032491509"/>
    </cacheField>
    <cacheField name="BTC Change %" numFmtId="0">
      <sharedItems containsSemiMixedTypes="0" containsString="0" containsNumber="1" minValue="-1" maxValue="3.3683901853615419"/>
    </cacheField>
    <cacheField name="Volatility Flag" numFmtId="0">
      <sharedItems/>
    </cacheField>
  </cacheFields>
  <extLst>
    <ext xmlns:x14="http://schemas.microsoft.com/office/spreadsheetml/2009/9/main" uri="{725AE2AE-9491-48be-B2B4-4EB974FC3084}">
      <x14:pivotCacheDefinition pivotCacheId="13800094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0">
  <r>
    <d v="2013-05-01T00:00:00"/>
    <n v="248.229996"/>
    <n v="51.190983000000003"/>
    <n v="106.25"/>
    <n v="30.415714000000001"/>
    <x v="0"/>
    <s v="May"/>
    <x v="0"/>
    <n v="1.7403243240595324E-2"/>
    <n v="-7.6705901176470595E-2"/>
    <s v="High Volatility"/>
  </r>
  <r>
    <d v="2013-05-02T00:00:00"/>
    <n v="252.550003"/>
    <n v="51.987319999999997"/>
    <n v="98.099997999999999"/>
    <n v="30.641428000000001"/>
    <x v="0"/>
    <s v="May"/>
    <x v="0"/>
    <n v="2.1777806116280194E-2"/>
    <n v="0.15086650664355775"/>
    <s v="High Volatility"/>
  </r>
  <r>
    <d v="2013-05-03T00:00:00"/>
    <n v="258.04998799999998"/>
    <n v="52.446387999999999"/>
    <n v="112.900002"/>
    <n v="30.492857000000001"/>
    <x v="0"/>
    <s v="May"/>
    <x v="0"/>
    <n v="-9.0292079378046265E-3"/>
    <n v="-2.9229441466263228E-2"/>
    <s v="Normal"/>
  </r>
  <r>
    <d v="2013-05-06T00:00:00"/>
    <n v="255.720001"/>
    <n v="53.205257000000003"/>
    <n v="109.599998"/>
    <n v="30.098572000000001"/>
    <x v="0"/>
    <s v="May"/>
    <x v="0"/>
    <n v="7.8601986240411214E-3"/>
    <n v="3.2846706803771997E-2"/>
    <s v="Normal"/>
  </r>
  <r>
    <d v="2013-05-07T00:00:00"/>
    <n v="257.73001099999999"/>
    <n v="54.151505"/>
    <n v="113.199997"/>
    <n v="29.464285"/>
    <x v="0"/>
    <s v="May"/>
    <x v="0"/>
    <n v="3.6859580159643657E-3"/>
    <n v="-3.5335159947044205E-3"/>
    <s v="Normal"/>
  </r>
  <r>
    <d v="2013-05-08T00:00:00"/>
    <n v="258.67999300000002"/>
    <n v="54.385727000000003"/>
    <n v="112.800003"/>
    <n v="29.801428000000001"/>
    <x v="0"/>
    <s v="May"/>
    <x v="0"/>
    <n v="5.7213972477569621E-3"/>
    <n v="4.3439661965257149E-2"/>
    <s v="Normal"/>
  </r>
  <r>
    <d v="2013-05-09T00:00:00"/>
    <n v="260.16000400000001"/>
    <n v="54.020339999999997"/>
    <n v="117.699997"/>
    <n v="30.915714000000001"/>
    <x v="0"/>
    <s v="May"/>
    <x v="0"/>
    <n v="1.3337949518174083E-2"/>
    <n v="-1.7502107497929614E-2"/>
    <s v="Normal"/>
  </r>
  <r>
    <d v="2013-05-10T00:00:00"/>
    <n v="263.63000499999998"/>
    <n v="54.357619999999997"/>
    <n v="115.639999"/>
    <n v="31.098572000000001"/>
    <x v="0"/>
    <s v="May"/>
    <x v="0"/>
    <n v="3.3380305098429132E-3"/>
    <n v="-3.6665488037577743E-2"/>
    <s v="Normal"/>
  </r>
  <r>
    <d v="2013-05-13T00:00:00"/>
    <n v="264.51001000000002"/>
    <n v="54.573096999999997"/>
    <n v="111.400002"/>
    <n v="32.768569999999997"/>
    <x v="0"/>
    <s v="May"/>
    <x v="0"/>
    <n v="1.444171054244788E-2"/>
    <n v="2.5314173692743702E-2"/>
    <s v="Normal"/>
  </r>
  <r>
    <d v="2013-05-14T00:00:00"/>
    <n v="268.32998700000002"/>
    <n v="55.275756999999999"/>
    <n v="114.220001"/>
    <n v="33.424286000000002"/>
    <x v="0"/>
    <s v="May"/>
    <x v="0"/>
    <n v="-6.5963145595054548E-3"/>
    <n v="3.4932568421182204E-2"/>
    <s v="Normal"/>
  </r>
  <r>
    <d v="2013-05-15T00:00:00"/>
    <n v="266.55999800000001"/>
    <n v="54.001606000000002"/>
    <n v="118.209999"/>
    <n v="34.771427000000003"/>
    <x v="0"/>
    <s v="May"/>
    <x v="0"/>
    <n v="-9.1536727877676166E-3"/>
    <n v="4.4750875939014292E-2"/>
    <s v="Normal"/>
  </r>
  <r>
    <d v="2013-05-16T00:00:00"/>
    <n v="264.11999500000002"/>
    <n v="53.364531999999997"/>
    <n v="123.5"/>
    <n v="33.861426999999999"/>
    <x v="0"/>
    <s v="May"/>
    <x v="0"/>
    <n v="2.1883988752915032E-2"/>
    <n v="-2.3481862348178439E-3"/>
    <s v="Normal"/>
  </r>
  <r>
    <d v="2013-05-17T00:00:00"/>
    <n v="269.89999399999999"/>
    <n v="53.936019999999999"/>
    <n v="123.209999"/>
    <n v="34.142856999999999"/>
    <x v="0"/>
    <s v="May"/>
    <x v="0"/>
    <n v="-8.4104818468429075E-3"/>
    <n v="-2.5971918074603117E-3"/>
    <s v="Normal"/>
  </r>
  <r>
    <d v="2013-05-20T00:00:00"/>
    <n v="267.63000499999998"/>
    <n v="53.139682999999998"/>
    <n v="122.889999"/>
    <n v="34.221428000000003"/>
    <x v="0"/>
    <s v="May"/>
    <x v="0"/>
    <n v="4.5958225050289556E-3"/>
    <n v="7.4050289478804592E-3"/>
    <s v="Normal"/>
  </r>
  <r>
    <d v="2013-05-21T00:00:00"/>
    <n v="268.85998499999999"/>
    <n v="53.355167000000002"/>
    <n v="123.800003"/>
    <n v="33.869999"/>
    <x v="0"/>
    <s v="May"/>
    <x v="0"/>
    <n v="-2.1944485342435739E-2"/>
    <n v="2.0193860576885447E-2"/>
    <s v="Normal"/>
  </r>
  <r>
    <d v="2013-05-22T00:00:00"/>
    <n v="262.959991"/>
    <n v="53.036613000000003"/>
    <n v="126.300003"/>
    <n v="32.651428000000003"/>
    <x v="0"/>
    <s v="May"/>
    <x v="0"/>
    <n v="-4.4113288701778872E-3"/>
    <n v="5.3840085815358242E-2"/>
    <s v="High Volatility"/>
  </r>
  <r>
    <d v="2013-05-23T00:00:00"/>
    <n v="261.79998799999998"/>
    <n v="55.472504000000001"/>
    <n v="133.10000600000001"/>
    <n v="32.311427999999999"/>
    <x v="0"/>
    <s v="May"/>
    <x v="0"/>
    <n v="-2.2917495320896398E-4"/>
    <n v="-8.3396014272156468E-3"/>
    <s v="Normal"/>
  </r>
  <r>
    <d v="2013-05-24T00:00:00"/>
    <n v="261.73998999999998"/>
    <n v="55.013438999999998"/>
    <n v="131.990005"/>
    <n v="32.677143000000001"/>
    <x v="0"/>
    <s v="May"/>
    <x v="0"/>
    <n v="2.1204321892119047E-2"/>
    <n v="1.9698082441924562E-3"/>
    <s v="Normal"/>
  </r>
  <r>
    <d v="2013-05-28T00:00:00"/>
    <n v="267.290009"/>
    <n v="55.894103999999999"/>
    <n v="132.25"/>
    <n v="30.598572000000001"/>
    <x v="0"/>
    <s v="May"/>
    <x v="0"/>
    <n v="-6.5846456685181316E-3"/>
    <n v="-2.6086933837429084E-2"/>
    <s v="Normal"/>
  </r>
  <r>
    <d v="2013-05-29T00:00:00"/>
    <n v="265.52999899999998"/>
    <n v="55.538086"/>
    <n v="128.800003"/>
    <n v="30.762857"/>
    <x v="0"/>
    <s v="May"/>
    <x v="0"/>
    <n v="4.8958234658828198E-3"/>
    <n v="1.5531055538873031E-4"/>
    <s v="Normal"/>
  </r>
  <r>
    <d v="2013-05-30T00:00:00"/>
    <n v="266.82998700000002"/>
    <n v="56.015887999999997"/>
    <n v="128.820007"/>
    <n v="31.808571000000001"/>
    <x v="0"/>
    <s v="May"/>
    <x v="0"/>
    <n v="8.8821538637634395E-3"/>
    <n v="3.7260982294466095E-3"/>
    <s v="Normal"/>
  </r>
  <r>
    <d v="2013-05-31T00:00:00"/>
    <n v="269.20001200000002"/>
    <n v="55.528717"/>
    <n v="129.300003"/>
    <n v="32.321429999999999"/>
    <x v="0"/>
    <s v="May"/>
    <x v="0"/>
    <n v="-8.6181534048372643E-3"/>
    <n v="-6.10982275073884E-2"/>
    <s v="High Volatility"/>
  </r>
  <r>
    <d v="2013-06-03T00:00:00"/>
    <n v="266.88000499999998"/>
    <n v="55.950310000000002"/>
    <n v="121.400002"/>
    <n v="31.709999"/>
    <x v="0"/>
    <s v="Jun"/>
    <x v="0"/>
    <n v="-4.421436517883637E-3"/>
    <n v="4.1186160771232933E-3"/>
    <s v="Normal"/>
  </r>
  <r>
    <d v="2013-06-04T00:00:00"/>
    <n v="265.70001200000002"/>
    <n v="56.381283000000003"/>
    <n v="121.900002"/>
    <n v="32.187140999999997"/>
    <x v="0"/>
    <s v="Jun"/>
    <x v="0"/>
    <n v="5.5325590275094446E-3"/>
    <n v="-2.4036102969054951E-2"/>
    <s v="Normal"/>
  </r>
  <r>
    <d v="2013-06-05T00:00:00"/>
    <n v="267.17001299999998"/>
    <n v="54.666786000000002"/>
    <n v="118.970001"/>
    <n v="31.922857"/>
    <x v="0"/>
    <s v="Jun"/>
    <x v="0"/>
    <n v="2.4702398019497565E-3"/>
    <n v="-6.6991686416813565E-2"/>
    <s v="High Volatility"/>
  </r>
  <r>
    <d v="2013-06-06T00:00:00"/>
    <n v="267.82998700000002"/>
    <n v="55.697353"/>
    <n v="111"/>
    <n v="31.105715"/>
    <x v="0"/>
    <s v="Jun"/>
    <x v="0"/>
    <n v="3.3752785120360701E-2"/>
    <n v="-2.8018027027027E-2"/>
    <s v="Normal"/>
  </r>
  <r>
    <d v="2013-06-07T00:00:00"/>
    <n v="276.86999500000002"/>
    <n v="56.70919"/>
    <n v="107.889999"/>
    <n v="31.459999"/>
    <x v="0"/>
    <s v="Jun"/>
    <x v="0"/>
    <n v="1.5169617783970987E-2"/>
    <n v="1.0288265921663388E-2"/>
    <s v="Normal"/>
  </r>
  <r>
    <d v="2013-06-10T00:00:00"/>
    <n v="281.07000699999998"/>
    <n v="56.887188000000002"/>
    <n v="109"/>
    <n v="31.561427999999999"/>
    <x v="0"/>
    <s v="Jun"/>
    <x v="0"/>
    <n v="-2.2378794760552309E-2"/>
    <n v="-2.018357798165104E-3"/>
    <s v="Normal"/>
  </r>
  <r>
    <d v="2013-06-11T00:00:00"/>
    <n v="274.77999899999998"/>
    <n v="56.025264999999997"/>
    <n v="108.779999"/>
    <n v="30.637142000000001"/>
    <x v="0"/>
    <s v="Jun"/>
    <x v="0"/>
    <n v="-1.1318094516770096E-2"/>
    <n v="-4.4401563195454775E-2"/>
    <s v="Normal"/>
  </r>
  <r>
    <d v="2013-06-12T00:00:00"/>
    <n v="271.67001299999998"/>
    <n v="55.865456000000002"/>
    <n v="103.949997"/>
    <n v="29.662856999999999"/>
    <x v="0"/>
    <s v="Jun"/>
    <x v="0"/>
    <n v="1.5165442643093682E-2"/>
    <n v="-3.7999010235661636E-2"/>
    <s v="Normal"/>
  </r>
  <r>
    <d v="2013-06-13T00:00:00"/>
    <n v="275.790009"/>
    <n v="56.420074"/>
    <n v="100"/>
    <n v="30.77"/>
    <x v="0"/>
    <s v="Jun"/>
    <x v="0"/>
    <n v="-6.5267737817145521E-3"/>
    <n v="-1.9999699999999621E-3"/>
    <s v="Normal"/>
  </r>
  <r>
    <d v="2013-06-14T00:00:00"/>
    <n v="273.98998999999998"/>
    <n v="56.015853999999997"/>
    <n v="99.800003000000004"/>
    <n v="30.57"/>
    <x v="0"/>
    <s v="Jun"/>
    <x v="0"/>
    <n v="1.4854586475951293E-2"/>
    <n v="7.5651250230924297E-2"/>
    <s v="High Volatility"/>
  </r>
  <r>
    <d v="2013-06-17T00:00:00"/>
    <n v="278.05999800000001"/>
    <n v="55.978259999999999"/>
    <n v="107.349998"/>
    <n v="32.747143000000001"/>
    <x v="0"/>
    <s v="Jun"/>
    <x v="0"/>
    <n v="1.3306523867557587E-2"/>
    <n v="8.3838101235921836E-3"/>
    <s v="Normal"/>
  </r>
  <r>
    <d v="2013-06-18T00:00:00"/>
    <n v="281.76001000000002"/>
    <n v="56.814877000000003"/>
    <n v="108.25"/>
    <n v="32.689999"/>
    <x v="0"/>
    <s v="Jun"/>
    <x v="0"/>
    <n v="-1.2776852187079378E-2"/>
    <n v="2.8083150115473476E-2"/>
    <s v="Normal"/>
  </r>
  <r>
    <d v="2013-06-19T00:00:00"/>
    <n v="278.16000400000001"/>
    <n v="56.185054999999998"/>
    <n v="111.290001"/>
    <n v="33.187140999999997"/>
    <x v="0"/>
    <s v="Jun"/>
    <x v="0"/>
    <n v="-1.696865808213039E-2"/>
    <n v="-1.6084113432616499E-2"/>
    <s v="Normal"/>
  </r>
  <r>
    <d v="2013-06-20T00:00:00"/>
    <n v="273.44000199999999"/>
    <n v="54.079425999999998"/>
    <n v="109.5"/>
    <n v="31.931429000000001"/>
    <x v="0"/>
    <s v="Jun"/>
    <x v="0"/>
    <n v="-2.9263092237688765E-4"/>
    <n v="-1.1872173515981769E-2"/>
    <s v="Normal"/>
  </r>
  <r>
    <d v="2013-06-21T00:00:00"/>
    <n v="273.35998499999999"/>
    <n v="54.051205000000003"/>
    <n v="108.199997"/>
    <n v="30.985714000000002"/>
    <x v="0"/>
    <s v="Jun"/>
    <x v="0"/>
    <n v="-1.0059994698931521E-2"/>
    <n v="-4.5009197181401062E-2"/>
    <s v="Normal"/>
  </r>
  <r>
    <d v="2013-06-24T00:00:00"/>
    <n v="270.60998499999999"/>
    <n v="53.590603000000002"/>
    <n v="103.33000199999999"/>
    <n v="30.799999"/>
    <x v="0"/>
    <s v="Jun"/>
    <x v="0"/>
    <n v="5.4691662615479267E-3"/>
    <n v="6.4840606506521388E-3"/>
    <s v="Normal"/>
  </r>
  <r>
    <d v="2013-06-25T00:00:00"/>
    <n v="272.08999599999999"/>
    <n v="54.117012000000003"/>
    <n v="104"/>
    <n v="30.414286000000001"/>
    <x v="0"/>
    <s v="Jun"/>
    <x v="0"/>
    <n v="2.0140435446219018E-2"/>
    <n v="-2.1730788461538461E-2"/>
    <s v="Normal"/>
  </r>
  <r>
    <d v="2013-06-26T00:00:00"/>
    <n v="277.57000699999998"/>
    <n v="54.229813"/>
    <n v="101.739998"/>
    <n v="30.299999"/>
    <x v="0"/>
    <s v="Jun"/>
    <x v="0"/>
    <n v="-7.2122345697064763E-5"/>
    <n v="-6.9589091204817988E-2"/>
    <s v="High Volatility"/>
  </r>
  <r>
    <d v="2013-06-27T00:00:00"/>
    <n v="277.54998799999998"/>
    <n v="55.273243000000001"/>
    <n v="94.660004000000001"/>
    <n v="30.709999"/>
    <x v="0"/>
    <s v="Jun"/>
    <x v="0"/>
    <n v="5.0446408234039583E-4"/>
    <n v="3.5917598313222054E-3"/>
    <s v="Normal"/>
  </r>
  <r>
    <d v="2013-06-28T00:00:00"/>
    <n v="277.69000199999999"/>
    <n v="54.662239"/>
    <n v="95"/>
    <n v="30.155714"/>
    <x v="0"/>
    <s v="Jun"/>
    <x v="0"/>
    <n v="1.5881032691987287E-2"/>
    <n v="-4.8315747368421043E-2"/>
    <s v="Normal"/>
  </r>
  <r>
    <d v="2013-07-01T00:00:00"/>
    <n v="282.10000600000001"/>
    <n v="56.316673000000002"/>
    <n v="90.410004000000001"/>
    <n v="32.040000999999997"/>
    <x v="0"/>
    <s v="Jul"/>
    <x v="1"/>
    <n v="5.7781104761833388E-3"/>
    <n v="-0.12741958290367952"/>
    <s v="High Volatility"/>
  </r>
  <r>
    <d v="2013-07-02T00:00:00"/>
    <n v="283.73001099999999"/>
    <n v="56.532871"/>
    <n v="78.889999000000003"/>
    <n v="31.637142000000001"/>
    <x v="0"/>
    <s v="Jul"/>
    <x v="1"/>
    <n v="1.0573009141425819E-3"/>
    <n v="1.4577285011754159E-2"/>
    <s v="Normal"/>
  </r>
  <r>
    <d v="2013-07-03T00:00:00"/>
    <n v="284.02999899999998"/>
    <n v="56.617469999999997"/>
    <n v="80.040001000000004"/>
    <n v="31.558571000000001"/>
    <x v="0"/>
    <s v="Jul"/>
    <x v="1"/>
    <n v="6.5134176196649136E-3"/>
    <n v="-0.12968511831977617"/>
    <s v="High Volatility"/>
  </r>
  <r>
    <d v="2013-07-05T00:00:00"/>
    <n v="285.88000499999998"/>
    <n v="57.350689000000003"/>
    <n v="69.660004000000001"/>
    <n v="32.157142999999998"/>
    <x v="0"/>
    <s v="Jul"/>
    <x v="1"/>
    <n v="1.6475412472446271E-2"/>
    <n v="0.10106219632143569"/>
    <s v="High Volatility"/>
  </r>
  <r>
    <d v="2013-07-08T00:00:00"/>
    <n v="290.58999599999999"/>
    <n v="57.510494000000001"/>
    <n v="76.699996999999996"/>
    <n v="33.299999"/>
    <x v="0"/>
    <s v="Jul"/>
    <x v="1"/>
    <n v="3.2348085375932564E-3"/>
    <n v="0.14732729389806892"/>
    <s v="High Volatility"/>
  </r>
  <r>
    <d v="2013-07-09T00:00:00"/>
    <n v="291.52999899999998"/>
    <n v="58.412917999999998"/>
    <n v="88"/>
    <n v="35.340000000000003"/>
    <x v="0"/>
    <s v="Jul"/>
    <x v="1"/>
    <n v="2.7441018171170842E-3"/>
    <n v="1.1136397727272686E-2"/>
    <s v="Normal"/>
  </r>
  <r>
    <d v="2013-07-10T00:00:00"/>
    <n v="292.32998700000002"/>
    <n v="58.506920000000001"/>
    <n v="88.980002999999996"/>
    <n v="34.831429"/>
    <x v="0"/>
    <s v="Jul"/>
    <x v="1"/>
    <n v="2.5074461485198225E-2"/>
    <n v="5.6304729501975896E-2"/>
    <s v="High Volatility"/>
  </r>
  <r>
    <d v="2013-07-11T00:00:00"/>
    <n v="299.66000400000001"/>
    <n v="59.221333000000001"/>
    <n v="93.989998"/>
    <n v="34.881428"/>
    <x v="0"/>
    <s v="Jul"/>
    <x v="1"/>
    <n v="2.6329786740575394E-2"/>
    <n v="4.6068752975183522E-2"/>
    <s v="Normal"/>
  </r>
  <r>
    <d v="2013-07-12T00:00:00"/>
    <n v="307.54998799999998"/>
    <n v="59.53154"/>
    <n v="98.32"/>
    <n v="36.751427"/>
    <x v="0"/>
    <s v="Jul"/>
    <x v="1"/>
    <n v="-3.1864120898616628E-3"/>
    <n v="-1.240848250610246E-2"/>
    <s v="Normal"/>
  </r>
  <r>
    <d v="2013-07-15T00:00:00"/>
    <n v="306.57000699999998"/>
    <n v="59.794746000000004"/>
    <n v="97.099997999999999"/>
    <n v="36.854286000000002"/>
    <x v="0"/>
    <s v="Jul"/>
    <x v="1"/>
    <n v="9.7853016652095937E-4"/>
    <n v="1.441814653796389E-2"/>
    <s v="Normal"/>
  </r>
  <r>
    <d v="2013-07-16T00:00:00"/>
    <n v="306.86999500000002"/>
    <n v="59.371735000000001"/>
    <n v="98.5"/>
    <n v="37.21143"/>
    <x v="0"/>
    <s v="Jul"/>
    <x v="1"/>
    <n v="5.9308731047490503E-3"/>
    <n v="-8.5583756345177731E-2"/>
    <s v="High Volatility"/>
  </r>
  <r>
    <d v="2013-07-17T00:00:00"/>
    <n v="308.69000199999999"/>
    <n v="59.268329999999999"/>
    <n v="90.07"/>
    <n v="38.274284000000002"/>
    <x v="0"/>
    <s v="Jul"/>
    <x v="1"/>
    <n v="-1.4836946355003744E-2"/>
    <n v="2.142777839458207E-2"/>
    <s v="Normal"/>
  </r>
  <r>
    <d v="2013-07-18T00:00:00"/>
    <n v="304.10998499999999"/>
    <n v="60.114348999999997"/>
    <n v="92"/>
    <n v="38.058571000000001"/>
    <x v="0"/>
    <s v="Jul"/>
    <x v="1"/>
    <n v="3.6829635830602399E-3"/>
    <n v="-2.3695652173913118E-2"/>
    <s v="Normal"/>
  </r>
  <r>
    <d v="2013-07-19T00:00:00"/>
    <n v="305.23001099999999"/>
    <n v="59.766559999999998"/>
    <n v="89.82"/>
    <n v="37.797142000000001"/>
    <x v="0"/>
    <s v="Jul"/>
    <x v="1"/>
    <n v="-5.7333811779078309E-3"/>
    <n v="6.3905566688933421E-2"/>
    <s v="High Volatility"/>
  </r>
  <r>
    <d v="2013-07-22T00:00:00"/>
    <n v="303.48001099999999"/>
    <n v="59.794746000000004"/>
    <n v="95.559997999999993"/>
    <n v="37.422854999999998"/>
    <x v="0"/>
    <s v="Jul"/>
    <x v="1"/>
    <n v="-7.9742088845514876E-3"/>
    <n v="-4.9183969216909556E-3"/>
    <s v="Normal"/>
  </r>
  <r>
    <d v="2013-07-23T00:00:00"/>
    <n v="301.05999800000001"/>
    <n v="55.865456000000002"/>
    <n v="95.089995999999999"/>
    <n v="35.751427"/>
    <x v="0"/>
    <s v="Jul"/>
    <x v="1"/>
    <n v="-7.0417724509518349E-3"/>
    <n v="1.9560427786746326E-2"/>
    <s v="Normal"/>
  </r>
  <r>
    <d v="2013-07-24T00:00:00"/>
    <n v="298.94000199999999"/>
    <n v="57.350689000000003"/>
    <n v="96.949996999999996"/>
    <n v="34.471428000000003"/>
    <x v="0"/>
    <s v="Jul"/>
    <x v="1"/>
    <n v="1.4919354954710945E-2"/>
    <n v="-9.5925737883209277E-3"/>
    <s v="Normal"/>
  </r>
  <r>
    <d v="2013-07-25T00:00:00"/>
    <n v="303.39999399999999"/>
    <n v="57.811306000000002"/>
    <n v="96.019997000000004"/>
    <n v="35.248573"/>
    <x v="0"/>
    <s v="Jul"/>
    <x v="1"/>
    <n v="2.8378431675249245E-2"/>
    <n v="-1.6871433561906932E-2"/>
    <s v="Normal"/>
  </r>
  <r>
    <d v="2013-07-26T00:00:00"/>
    <n v="312.01001000000002"/>
    <n v="58.619723999999998"/>
    <n v="94.400002000000001"/>
    <n v="35.187140999999997"/>
    <x v="0"/>
    <s v="Jul"/>
    <x v="1"/>
    <n v="-1.8941712799534906E-2"/>
    <n v="0.14364403297364331"/>
    <s v="High Volatility"/>
  </r>
  <r>
    <d v="2013-07-29T00:00:00"/>
    <n v="306.10000600000001"/>
    <n v="58.168509999999998"/>
    <n v="107.959999"/>
    <n v="34.994286000000002"/>
    <x v="0"/>
    <s v="Jul"/>
    <x v="1"/>
    <n v="-1.2054890322347763E-2"/>
    <n v="-1.6209707449145124E-2"/>
    <s v="Normal"/>
  </r>
  <r>
    <d v="2013-07-30T00:00:00"/>
    <n v="302.41000400000001"/>
    <n v="58.403506999999998"/>
    <n v="106.209999"/>
    <n v="34.822856999999999"/>
    <x v="0"/>
    <s v="Jul"/>
    <x v="1"/>
    <n v="-3.9350649259605516E-3"/>
    <n v="-2.0807824317934476E-2"/>
    <s v="Normal"/>
  </r>
  <r>
    <d v="2013-07-31T00:00:00"/>
    <n v="301.22000100000002"/>
    <n v="58.826526999999999"/>
    <n v="104"/>
    <n v="34.925713000000002"/>
    <x v="0"/>
    <s v="Jul"/>
    <x v="1"/>
    <n v="1.4441292030936387E-2"/>
    <n v="4.807692307692308E-3"/>
    <s v="Normal"/>
  </r>
  <r>
    <d v="2013-08-01T00:00:00"/>
    <n v="305.57000699999998"/>
    <n v="59.982754"/>
    <n v="104.5"/>
    <n v="35.588569999999997"/>
    <x v="0"/>
    <s v="Aug"/>
    <x v="1"/>
    <n v="-4.4507509534467277E-3"/>
    <n v="4.3061913875597725E-3"/>
    <s v="Normal"/>
  </r>
  <r>
    <d v="2013-08-02T00:00:00"/>
    <n v="304.209991"/>
    <n v="59.362338999999999"/>
    <n v="104.949997"/>
    <n v="35.168571"/>
    <x v="0"/>
    <s v="Aug"/>
    <x v="1"/>
    <n v="-1.058479699964892E-2"/>
    <n v="1.534064836609759E-2"/>
    <s v="Normal"/>
  </r>
  <r>
    <d v="2013-08-05T00:00:00"/>
    <n v="300.98998999999998"/>
    <n v="60.161346000000002"/>
    <n v="106.55999799999999"/>
    <n v="36.262855999999999"/>
    <x v="0"/>
    <s v="Aug"/>
    <x v="1"/>
    <n v="-7.9733548614017871E-4"/>
    <n v="-5.3490991994950415E-3"/>
    <s v="Normal"/>
  </r>
  <r>
    <d v="2013-08-06T00:00:00"/>
    <n v="300.75"/>
    <n v="59.174328000000003"/>
    <n v="105.989998"/>
    <n v="36.557144000000001"/>
    <x v="0"/>
    <s v="Aug"/>
    <x v="1"/>
    <n v="-1.2768066500415579E-2"/>
    <n v="-2.7738419242162794E-2"/>
    <s v="Normal"/>
  </r>
  <r>
    <d v="2013-08-07T00:00:00"/>
    <n v="296.91000400000001"/>
    <n v="58.75132"/>
    <n v="103.050003"/>
    <n v="35.601429000000003"/>
    <x v="0"/>
    <s v="Aug"/>
    <x v="1"/>
    <n v="-3.9406351562342014E-3"/>
    <n v="-2.4260067221929145E-3"/>
    <s v="Normal"/>
  </r>
  <r>
    <d v="2013-08-08T00:00:00"/>
    <n v="295.73998999999998"/>
    <n v="58.939326999999999"/>
    <n v="102.800003"/>
    <n v="35.771427000000003"/>
    <x v="0"/>
    <s v="Aug"/>
    <x v="1"/>
    <n v="5.1397174930588353E-3"/>
    <n v="1.9454960521742028E-3"/>
    <s v="Normal"/>
  </r>
  <r>
    <d v="2013-08-09T00:00:00"/>
    <n v="297.26001000000002"/>
    <n v="59.005135000000003"/>
    <n v="103"/>
    <n v="36.107143000000001"/>
    <x v="0"/>
    <s v="Aug"/>
    <x v="1"/>
    <n v="-1.9175401359908108E-3"/>
    <n v="6.4077650485436885E-2"/>
    <s v="High Volatility"/>
  </r>
  <r>
    <d v="2013-08-12T00:00:00"/>
    <n v="296.69000199999999"/>
    <n v="58.666713999999999"/>
    <n v="109.599998"/>
    <n v="36.657142999999998"/>
    <x v="0"/>
    <s v="Aug"/>
    <x v="1"/>
    <n v="-9.1678215702056861E-3"/>
    <n v="2.7007299762906872E-2"/>
    <s v="Normal"/>
  </r>
  <r>
    <d v="2013-08-13T00:00:00"/>
    <n v="293.97000100000002"/>
    <n v="58.394114999999999"/>
    <n v="112.55999799999999"/>
    <n v="37.027141999999998"/>
    <x v="0"/>
    <s v="Aug"/>
    <x v="1"/>
    <n v="-8.9465081166565687E-3"/>
    <n v="-2.2832267640942861E-2"/>
    <s v="Normal"/>
  </r>
  <r>
    <d v="2013-08-14T00:00:00"/>
    <n v="291.33999599999999"/>
    <n v="58.74192"/>
    <n v="109.989998"/>
    <n v="37.401428000000003"/>
    <x v="0"/>
    <s v="Aug"/>
    <x v="1"/>
    <n v="-1.6715847692947591E-2"/>
    <n v="-9.0917357776477102E-3"/>
    <s v="Normal"/>
  </r>
  <r>
    <d v="2013-08-15T00:00:00"/>
    <n v="286.47000100000002"/>
    <n v="57.905304000000001"/>
    <n v="108.989998"/>
    <n v="36.201427000000002"/>
    <x v="0"/>
    <s v="Aug"/>
    <x v="1"/>
    <n v="-5.7597444557555928E-3"/>
    <n v="3.449859683454623E-2"/>
    <s v="Normal"/>
  </r>
  <r>
    <d v="2013-08-16T00:00:00"/>
    <n v="284.82000699999998"/>
    <n v="57.773696999999999"/>
    <n v="112.75"/>
    <n v="36.981430000000003"/>
    <x v="0"/>
    <s v="Aug"/>
    <x v="1"/>
    <n v="2.6332419828920236E-3"/>
    <n v="7.4944541019955624E-2"/>
    <s v="High Volatility"/>
  </r>
  <r>
    <d v="2013-08-19T00:00:00"/>
    <n v="285.57000699999998"/>
    <n v="57.369492000000001"/>
    <n v="121.199997"/>
    <n v="37.111426999999999"/>
    <x v="0"/>
    <s v="Aug"/>
    <x v="1"/>
    <n v="5.3226493074954116E-3"/>
    <n v="1.7326782607098641E-2"/>
    <s v="Normal"/>
  </r>
  <r>
    <d v="2013-08-20T00:00:00"/>
    <n v="287.08999599999999"/>
    <n v="58.196708999999998"/>
    <n v="123.300003"/>
    <n v="39.041428000000003"/>
    <x v="0"/>
    <s v="Aug"/>
    <x v="1"/>
    <n v="-8.7776970117760898E-3"/>
    <n v="-1.0543414179803416E-2"/>
    <s v="Normal"/>
  </r>
  <r>
    <d v="2013-08-21T00:00:00"/>
    <n v="284.57000699999998"/>
    <n v="57.811306000000002"/>
    <n v="122"/>
    <n v="38.624287000000002"/>
    <x v="0"/>
    <s v="Aug"/>
    <x v="1"/>
    <n v="1.8132634757956116E-2"/>
    <n v="-2.8606540983606557E-2"/>
    <s v="Normal"/>
  </r>
  <r>
    <d v="2013-08-22T00:00:00"/>
    <n v="289.73001099999999"/>
    <n v="58.817126999999999"/>
    <n v="118.510002"/>
    <n v="38.535713000000001"/>
    <x v="0"/>
    <s v="Aug"/>
    <x v="1"/>
    <n v="9.6641352075892508E-4"/>
    <n v="9.197502165260274E-3"/>
    <s v="Normal"/>
  </r>
  <r>
    <d v="2013-08-23T00:00:00"/>
    <n v="290.01001000000002"/>
    <n v="58.488117000000003"/>
    <n v="119.599998"/>
    <n v="39.765712999999998"/>
    <x v="0"/>
    <s v="Aug"/>
    <x v="1"/>
    <n v="-1.3103061511566514E-2"/>
    <n v="9.774243474485686E-2"/>
    <s v="High Volatility"/>
  </r>
  <r>
    <d v="2013-08-26T00:00:00"/>
    <n v="286.209991"/>
    <n v="58.159103000000002"/>
    <n v="131.28999300000001"/>
    <n v="40.388573000000001"/>
    <x v="0"/>
    <s v="Aug"/>
    <x v="1"/>
    <n v="-1.8447986324837899E-2"/>
    <n v="-1.9270303411471779E-2"/>
    <s v="Normal"/>
  </r>
  <r>
    <d v="2013-08-27T00:00:00"/>
    <n v="280.92999300000002"/>
    <n v="57.491695"/>
    <n v="128.759995"/>
    <n v="39.434283999999998"/>
    <x v="0"/>
    <s v="Aug"/>
    <x v="1"/>
    <n v="2.313722337222969E-3"/>
    <n v="4.1939113153895372E-3"/>
    <s v="Normal"/>
  </r>
  <r>
    <d v="2013-08-28T00:00:00"/>
    <n v="281.57998700000002"/>
    <n v="58.093307000000003"/>
    <n v="129.300003"/>
    <n v="40.479999999999997"/>
    <x v="0"/>
    <s v="Aug"/>
    <x v="1"/>
    <n v="8.5234182498913659E-3"/>
    <n v="6.7517368889774887E-2"/>
    <s v="High Volatility"/>
  </r>
  <r>
    <d v="2013-08-29T00:00:00"/>
    <n v="283.98001099999999"/>
    <n v="58.328316000000001"/>
    <n v="138.029999"/>
    <n v="41.121428999999999"/>
    <x v="0"/>
    <s v="Aug"/>
    <x v="1"/>
    <n v="-1.0564123824898367E-2"/>
    <n v="2.1517068909056473E-2"/>
    <s v="Normal"/>
  </r>
  <r>
    <d v="2013-08-30T00:00:00"/>
    <n v="280.98001099999999"/>
    <n v="57.754902000000001"/>
    <n v="141"/>
    <n v="40.558571000000001"/>
    <x v="0"/>
    <s v="Aug"/>
    <x v="1"/>
    <n v="2.7831079414400033E-2"/>
    <n v="-6.0212801418439689E-2"/>
    <s v="High Volatility"/>
  </r>
  <r>
    <d v="2013-09-03T00:00:00"/>
    <n v="288.79998799999998"/>
    <n v="57.773696999999999"/>
    <n v="132.509995"/>
    <n v="41.285713000000001"/>
    <x v="0"/>
    <s v="Sep"/>
    <x v="1"/>
    <n v="1.6759096956749254E-2"/>
    <n v="-1.7432632157295059E-2"/>
    <s v="Normal"/>
  </r>
  <r>
    <d v="2013-09-04T00:00:00"/>
    <n v="293.64001500000001"/>
    <n v="58.403506999999998"/>
    <n v="130.199997"/>
    <n v="41.775714999999998"/>
    <x v="0"/>
    <s v="Sep"/>
    <x v="1"/>
    <n v="1.5665133377683633E-3"/>
    <n v="-6.3748042943503266E-2"/>
    <s v="High Volatility"/>
  </r>
  <r>
    <d v="2013-09-05T00:00:00"/>
    <n v="294.10000600000001"/>
    <n v="58.365906000000003"/>
    <n v="121.900002"/>
    <n v="42.158572999999997"/>
    <x v="0"/>
    <s v="Sep"/>
    <x v="1"/>
    <n v="5.9842875351726003E-3"/>
    <n v="5.8162451875923643E-2"/>
    <s v="High Volatility"/>
  </r>
  <r>
    <d v="2013-09-06T00:00:00"/>
    <n v="295.85998499999999"/>
    <n v="57.886501000000003"/>
    <n v="128.990005"/>
    <n v="41.648570999999997"/>
    <x v="0"/>
    <s v="Sep"/>
    <x v="1"/>
    <n v="1.3012932451815029E-2"/>
    <n v="2.8141637795889629E-2"/>
    <s v="Normal"/>
  </r>
  <r>
    <d v="2013-09-09T00:00:00"/>
    <n v="299.709991"/>
    <n v="59.258929999999999"/>
    <n v="132.61999499999999"/>
    <n v="42.021427000000003"/>
    <x v="0"/>
    <s v="Sep"/>
    <x v="1"/>
    <n v="2.1687431834729607E-3"/>
    <n v="7.1482516644643362E-2"/>
    <s v="High Volatility"/>
  </r>
  <r>
    <d v="2013-09-10T00:00:00"/>
    <n v="300.35998499999999"/>
    <n v="60.819369999999999"/>
    <n v="142.10000600000001"/>
    <n v="44.722858000000002"/>
    <x v="0"/>
    <s v="Sep"/>
    <x v="1"/>
    <n v="-2.3970236914214434E-3"/>
    <n v="-1.9352567796513676E-2"/>
    <s v="Normal"/>
  </r>
  <r>
    <d v="2013-09-11T00:00:00"/>
    <n v="299.64001500000001"/>
    <n v="61.139969000000001"/>
    <n v="139.35000600000001"/>
    <n v="44.042858000000003"/>
    <x v="0"/>
    <s v="Sep"/>
    <x v="1"/>
    <n v="-2.6032237383248383E-3"/>
    <n v="9.4007746221408759E-3"/>
    <s v="Normal"/>
  </r>
  <r>
    <d v="2013-09-12T00:00:00"/>
    <n v="298.85998499999999"/>
    <n v="61.526569000000002"/>
    <n v="140.66000399999999"/>
    <n v="43.058571000000001"/>
    <x v="0"/>
    <s v="Sep"/>
    <x v="1"/>
    <n v="-3.1451918864280597E-3"/>
    <n v="-2.8081877489495852E-2"/>
    <s v="Normal"/>
  </r>
  <r>
    <d v="2013-09-13T00:00:00"/>
    <n v="297.92001299999998"/>
    <n v="62.346919999999997"/>
    <n v="136.71000699999999"/>
    <n v="43.664287999999999"/>
    <x v="0"/>
    <s v="Sep"/>
    <x v="1"/>
    <n v="-6.2433368650530226E-3"/>
    <n v="1.7847903409148404E-2"/>
    <s v="Normal"/>
  </r>
  <r>
    <d v="2013-09-16T00:00:00"/>
    <n v="296.05999800000001"/>
    <n v="62.478928000000003"/>
    <n v="139.14999399999999"/>
    <n v="43.165714000000001"/>
    <x v="0"/>
    <s v="Sep"/>
    <x v="1"/>
    <n v="2.7393146844512158E-2"/>
    <n v="9.0550488992474851E-3"/>
    <s v="Normal"/>
  </r>
  <r>
    <d v="2013-09-17T00:00:00"/>
    <n v="304.17001299999998"/>
    <n v="63.044696999999999"/>
    <n v="140.41000399999999"/>
    <n v="42.792858000000003"/>
    <x v="0"/>
    <s v="Sep"/>
    <x v="1"/>
    <n v="2.584076557211441E-2"/>
    <n v="-3.8173925271022591E-2"/>
    <s v="Normal"/>
  </r>
  <r>
    <d v="2013-09-18T00:00:00"/>
    <n v="312.02999899999998"/>
    <n v="63.440722999999998"/>
    <n v="135.050003"/>
    <n v="43.845714999999998"/>
    <x v="0"/>
    <s v="Sep"/>
    <x v="1"/>
    <n v="9.6141396968796213E-5"/>
    <n v="-9.1818213436100134E-3"/>
    <s v="Normal"/>
  </r>
  <r>
    <d v="2013-09-19T00:00:00"/>
    <n v="312.05999800000001"/>
    <n v="63.761325999999997"/>
    <n v="133.80999800000001"/>
    <n v="43.642856999999999"/>
    <x v="0"/>
    <s v="Sep"/>
    <x v="1"/>
    <n v="1.371530483698836E-2"/>
    <n v="4.2598236941906531E-3"/>
    <s v="Normal"/>
  </r>
  <r>
    <d v="2013-09-20T00:00:00"/>
    <n v="316.33999599999999"/>
    <n v="62.931548999999997"/>
    <n v="134.38000500000001"/>
    <n v="44.832858999999999"/>
    <x v="0"/>
    <s v="Sep"/>
    <x v="1"/>
    <n v="-1.5331624395670814E-2"/>
    <n v="2.9765886673392547E-3"/>
    <s v="Normal"/>
  </r>
  <r>
    <d v="2013-09-23T00:00:00"/>
    <n v="311.48998999999998"/>
    <n v="63.157848000000001"/>
    <n v="134.779999"/>
    <n v="43.148570999999997"/>
    <x v="0"/>
    <s v="Sep"/>
    <x v="1"/>
    <n v="8.4754408961906138E-3"/>
    <n v="1.6322970888284123E-3"/>
    <s v="Normal"/>
  </r>
  <r>
    <d v="2013-09-24T00:00:00"/>
    <n v="314.13000499999998"/>
    <n v="63.469017000000001"/>
    <n v="135"/>
    <n v="43.784286000000002"/>
    <x v="0"/>
    <s v="Sep"/>
    <x v="1"/>
    <n v="-4.7114601484821248E-3"/>
    <n v="1.5555600000000057E-2"/>
    <s v="Normal"/>
  </r>
  <r>
    <d v="2013-09-25T00:00:00"/>
    <n v="312.64999399999999"/>
    <n v="63.072983000000001"/>
    <n v="137.10000600000001"/>
    <n v="43.877144000000001"/>
    <x v="0"/>
    <s v="Sep"/>
    <x v="1"/>
    <n v="1.7495605645206008E-2"/>
    <n v="1.3347825819934598E-2"/>
    <s v="Normal"/>
  </r>
  <r>
    <d v="2013-09-26T00:00:00"/>
    <n v="318.11999500000002"/>
    <n v="63.789608000000001"/>
    <n v="138.929993"/>
    <n v="44.787143999999998"/>
    <x v="0"/>
    <s v="Sep"/>
    <x v="1"/>
    <n v="-6.6326701658598807E-3"/>
    <n v="2.5696445547218907E-2"/>
    <s v="Normal"/>
  </r>
  <r>
    <d v="2013-09-27T00:00:00"/>
    <n v="316.01001000000002"/>
    <n v="63.695332000000001"/>
    <n v="142.5"/>
    <n v="44.628571000000001"/>
    <x v="0"/>
    <s v="Sep"/>
    <x v="1"/>
    <n v="-1.0664203326976943E-2"/>
    <n v="-1.5438575438596464E-2"/>
    <s v="Normal"/>
  </r>
  <r>
    <d v="2013-09-30T00:00:00"/>
    <n v="312.64001500000001"/>
    <n v="64.072509999999994"/>
    <n v="140.300003"/>
    <n v="44.172854999999998"/>
    <x v="0"/>
    <s v="Sep"/>
    <x v="1"/>
    <n v="2.6580081247757136E-2"/>
    <n v="-0.12330721760569031"/>
    <s v="High Volatility"/>
  </r>
  <r>
    <d v="2013-10-01T00:00:00"/>
    <n v="320.95001200000002"/>
    <n v="65.552909999999997"/>
    <n v="123"/>
    <n v="46.374287000000002"/>
    <x v="0"/>
    <s v="Oct"/>
    <x v="2"/>
    <n v="-1.3709362316521511E-3"/>
    <n v="6.4959390243902404E-2"/>
    <s v="High Volatility"/>
  </r>
  <r>
    <d v="2013-10-02T00:00:00"/>
    <n v="320.51001000000002"/>
    <n v="65.656623999999994"/>
    <n v="130.990005"/>
    <n v="47.247143000000001"/>
    <x v="0"/>
    <s v="Oct"/>
    <x v="2"/>
    <n v="-1.794015731365145E-2"/>
    <n v="4.4507227860629578E-2"/>
    <s v="Normal"/>
  </r>
  <r>
    <d v="2013-10-03T00:00:00"/>
    <n v="314.76001000000002"/>
    <n v="64.440239000000005"/>
    <n v="136.820007"/>
    <n v="45.959999000000003"/>
    <x v="0"/>
    <s v="Oct"/>
    <x v="2"/>
    <n v="1.3597658101484921E-2"/>
    <n v="-8.7713780046808304E-4"/>
    <s v="Normal"/>
  </r>
  <r>
    <d v="2013-10-04T00:00:00"/>
    <n v="319.040009"/>
    <n v="64.807991000000001"/>
    <n v="136.699997"/>
    <n v="46.751427"/>
    <x v="0"/>
    <s v="Oct"/>
    <x v="2"/>
    <n v="-2.8241003466120209E-2"/>
    <n v="-1.5361521917224309E-3"/>
    <s v="Normal"/>
  </r>
  <r>
    <d v="2013-10-07T00:00:00"/>
    <n v="310.02999899999998"/>
    <n v="64.459106000000006"/>
    <n v="136.490005"/>
    <n v="45.451427000000002"/>
    <x v="0"/>
    <s v="Oct"/>
    <x v="2"/>
    <n v="-2.1933322652431402E-2"/>
    <n v="2.2052860207602772E-2"/>
    <s v="Normal"/>
  </r>
  <r>
    <d v="2013-10-08T00:00:00"/>
    <n v="303.23001099999999"/>
    <n v="63.582165000000003"/>
    <n v="139.5"/>
    <n v="43.188572000000001"/>
    <x v="0"/>
    <s v="Oct"/>
    <x v="2"/>
    <n v="-1.6489133062756112E-2"/>
    <n v="6.5233261648744555E-3"/>
    <s v="Normal"/>
  </r>
  <r>
    <d v="2013-10-09T00:00:00"/>
    <n v="298.23001099999999"/>
    <n v="62.790095999999998"/>
    <n v="140.41000399999999"/>
    <n v="41.204284999999999"/>
    <x v="0"/>
    <s v="Oct"/>
    <x v="2"/>
    <n v="2.327063589854474E-2"/>
    <n v="-2.2078056489477698E-3"/>
    <s v="Normal"/>
  </r>
  <r>
    <d v="2013-10-10T00:00:00"/>
    <n v="305.17001299999998"/>
    <n v="63.346451000000002"/>
    <n v="140.10000600000001"/>
    <n v="43.427143000000001"/>
    <x v="0"/>
    <s v="Oct"/>
    <x v="2"/>
    <n v="1.8743656834985363E-2"/>
    <n v="1.991429607790296E-2"/>
    <s v="Normal"/>
  </r>
  <r>
    <d v="2013-10-11T00:00:00"/>
    <n v="310.89001500000001"/>
    <n v="64.459106000000006"/>
    <n v="142.88999899999999"/>
    <n v="42.978572999999997"/>
    <x v="0"/>
    <s v="Oct"/>
    <x v="2"/>
    <n v="-6.1115825800963774E-4"/>
    <n v="0.10637551337655217"/>
    <s v="High Volatility"/>
  </r>
  <r>
    <d v="2013-10-14T00:00:00"/>
    <n v="310.70001200000002"/>
    <n v="64.921143000000001"/>
    <n v="158.08999600000001"/>
    <n v="46.337142999999998"/>
    <x v="0"/>
    <s v="Oct"/>
    <x v="2"/>
    <n v="-1.3839774167759037E-2"/>
    <n v="-3.3335373099762804E-2"/>
    <s v="Normal"/>
  </r>
  <r>
    <d v="2013-10-15T00:00:00"/>
    <n v="306.39999399999999"/>
    <n v="61.196548"/>
    <n v="152.820007"/>
    <n v="45.955714999999998"/>
    <x v="0"/>
    <s v="Oct"/>
    <x v="2"/>
    <n v="1.3348551175232677E-2"/>
    <n v="3.1213118580736679E-2"/>
    <s v="Normal"/>
  </r>
  <r>
    <d v="2013-10-16T00:00:00"/>
    <n v="310.48998999999998"/>
    <n v="62.856116999999998"/>
    <n v="157.58999600000001"/>
    <n v="46.125712999999998"/>
    <x v="0"/>
    <s v="Oct"/>
    <x v="2"/>
    <n v="9.0179718837322942E-4"/>
    <n v="6.7834274201009487E-2"/>
    <s v="High Volatility"/>
  </r>
  <r>
    <d v="2013-10-17T00:00:00"/>
    <n v="310.76998900000001"/>
    <n v="62.827831000000003"/>
    <n v="168.279999"/>
    <n v="47.157142999999998"/>
    <x v="0"/>
    <s v="Oct"/>
    <x v="2"/>
    <n v="5.8435513861668328E-2"/>
    <n v="8.8364601190661932E-2"/>
    <s v="High Volatility"/>
  </r>
  <r>
    <d v="2013-10-18T00:00:00"/>
    <n v="328.92999300000002"/>
    <n v="63.223888000000002"/>
    <n v="183.14999399999999"/>
    <n v="47.642856999999999"/>
    <x v="0"/>
    <s v="Oct"/>
    <x v="2"/>
    <n v="-7.5699724956368808E-3"/>
    <n v="0.10832657193535046"/>
    <s v="High Volatility"/>
  </r>
  <r>
    <d v="2013-10-21T00:00:00"/>
    <n v="326.44000199999999"/>
    <n v="63.157848000000001"/>
    <n v="202.990005"/>
    <n v="50.712856000000002"/>
    <x v="0"/>
    <s v="Oct"/>
    <x v="2"/>
    <n v="1.8686456814811576E-2"/>
    <n v="0.12306022653676964"/>
    <s v="High Volatility"/>
  </r>
  <r>
    <d v="2013-10-22T00:00:00"/>
    <n v="332.540009"/>
    <n v="63.374718000000001"/>
    <n v="227.970001"/>
    <n v="46.074286999999998"/>
    <x v="0"/>
    <s v="Oct"/>
    <x v="2"/>
    <n v="-1.7381364177445412E-2"/>
    <n v="-9.2073539974235452E-2"/>
    <s v="High Volatility"/>
  </r>
  <r>
    <d v="2013-10-23T00:00:00"/>
    <n v="326.76001000000002"/>
    <n v="62.563797000000001"/>
    <n v="206.979996"/>
    <n v="47.177143000000001"/>
    <x v="0"/>
    <s v="Oct"/>
    <x v="2"/>
    <n v="1.6678849409999648E-2"/>
    <n v="-4.3965557908311047E-2"/>
    <s v="Normal"/>
  </r>
  <r>
    <d v="2013-10-24T00:00:00"/>
    <n v="332.209991"/>
    <n v="63.544460000000001"/>
    <n v="197.88000500000001"/>
    <n v="47.317141999999997"/>
    <x v="0"/>
    <s v="Oct"/>
    <x v="2"/>
    <n v="9.3856370502716169E-2"/>
    <n v="-4.7099286256840366E-2"/>
    <s v="Normal"/>
  </r>
  <r>
    <d v="2013-10-25T00:00:00"/>
    <n v="363.39001500000001"/>
    <n v="63.657603999999999"/>
    <n v="188.55999800000001"/>
    <n v="46.861426999999999"/>
    <x v="0"/>
    <s v="Oct"/>
    <x v="2"/>
    <n v="-1.4392280426307229E-2"/>
    <n v="9.7263450331602067E-2"/>
    <s v="High Volatility"/>
  </r>
  <r>
    <d v="2013-10-28T00:00:00"/>
    <n v="358.16000400000001"/>
    <n v="63.770752000000002"/>
    <n v="206.89999399999999"/>
    <n v="44.857143000000001"/>
    <x v="0"/>
    <s v="Oct"/>
    <x v="2"/>
    <n v="1.2675921234354242E-2"/>
    <n v="4.3982630564986906E-2"/>
    <s v="Normal"/>
  </r>
  <r>
    <d v="2013-10-29T00:00:00"/>
    <n v="362.70001200000002"/>
    <n v="64.459106000000006"/>
    <n v="216"/>
    <n v="46.757140999999997"/>
    <x v="0"/>
    <s v="Oct"/>
    <x v="2"/>
    <n v="-4.4665700204057288E-3"/>
    <n v="-3.7037037037037035E-2"/>
    <s v="Normal"/>
  </r>
  <r>
    <d v="2013-10-30T00:00:00"/>
    <n v="361.07998700000002"/>
    <n v="63.997062999999997"/>
    <n v="208"/>
    <n v="45.448569999999997"/>
    <x v="0"/>
    <s v="Oct"/>
    <x v="2"/>
    <n v="8.1699681682993915E-3"/>
    <n v="1.5240374999999964E-2"/>
    <s v="Normal"/>
  </r>
  <r>
    <d v="2013-10-31T00:00:00"/>
    <n v="364.02999899999998"/>
    <n v="63.233269"/>
    <n v="211.16999799999999"/>
    <n v="46.068573000000001"/>
    <x v="0"/>
    <s v="Oct"/>
    <x v="2"/>
    <n v="-1.3817539801163408E-2"/>
    <n v="1.0702254209426111E-2"/>
    <s v="Normal"/>
  </r>
  <r>
    <d v="2013-11-01T00:00:00"/>
    <n v="359"/>
    <n v="63.072983000000001"/>
    <n v="213.429993"/>
    <n v="47.03857"/>
    <x v="0"/>
    <s v="Nov"/>
    <x v="2"/>
    <n v="-7.2426183844017408E-4"/>
    <n v="0.11586942703034241"/>
    <s v="High Volatility"/>
  </r>
  <r>
    <d v="2013-11-04T00:00:00"/>
    <n v="358.73998999999998"/>
    <n v="63.270995999999997"/>
    <n v="238.16000399999999"/>
    <n v="48.228572999999997"/>
    <x v="0"/>
    <s v="Nov"/>
    <x v="2"/>
    <n v="4.1819982210521844E-4"/>
    <n v="5.5172987820406728E-2"/>
    <s v="High Volatility"/>
  </r>
  <r>
    <d v="2013-11-05T00:00:00"/>
    <n v="358.89001500000001"/>
    <n v="64.129081999999997"/>
    <n v="251.300003"/>
    <n v="48.785713000000001"/>
    <x v="0"/>
    <s v="Nov"/>
    <x v="2"/>
    <n v="-7.5511211979524722E-3"/>
    <n v="5.0935148615975159E-2"/>
    <s v="High Volatility"/>
  </r>
  <r>
    <d v="2013-11-06T00:00:00"/>
    <n v="356.17999300000002"/>
    <n v="64.053641999999996"/>
    <n v="264.10000600000001"/>
    <n v="47.947144000000002"/>
    <x v="0"/>
    <s v="Nov"/>
    <x v="2"/>
    <n v="-3.5431510045540418E-2"/>
    <n v="0.17247249892148803"/>
    <s v="High Volatility"/>
  </r>
  <r>
    <d v="2013-11-07T00:00:00"/>
    <n v="343.55999800000001"/>
    <n v="62.893828999999997"/>
    <n v="309.64999399999999"/>
    <n v="46.694285999999998"/>
    <x v="0"/>
    <s v="Nov"/>
    <x v="2"/>
    <n v="1.96472233068298E-2"/>
    <n v="0.14645569797750427"/>
    <s v="High Volatility"/>
  </r>
  <r>
    <d v="2013-11-08T00:00:00"/>
    <n v="350.30999800000001"/>
    <n v="63.742488999999999"/>
    <n v="355"/>
    <n v="47.842857000000002"/>
    <x v="0"/>
    <s v="Nov"/>
    <x v="2"/>
    <n v="1.1618300999790407E-2"/>
    <n v="2.2478904225352085E-2"/>
    <s v="Normal"/>
  </r>
  <r>
    <d v="2013-11-11T00:00:00"/>
    <n v="354.38000499999998"/>
    <n v="63.940491000000002"/>
    <n v="362.98001099999999"/>
    <n v="48.272857999999999"/>
    <x v="0"/>
    <s v="Nov"/>
    <x v="2"/>
    <n v="-1.3685890658531956E-2"/>
    <n v="4.6999827767375345E-2"/>
    <s v="Normal"/>
  </r>
  <r>
    <d v="2013-11-12T00:00:00"/>
    <n v="349.52999899999998"/>
    <n v="64.534546000000006"/>
    <n v="380.040009"/>
    <n v="47.675713000000002"/>
    <x v="0"/>
    <s v="Nov"/>
    <x v="2"/>
    <n v="1.9139993760592923E-2"/>
    <n v="0.14422164956848008"/>
    <s v="High Volatility"/>
  </r>
  <r>
    <d v="2013-11-13T00:00:00"/>
    <n v="356.22000100000002"/>
    <n v="65.260581999999999"/>
    <n v="434.85000600000001"/>
    <n v="47.897143999999997"/>
    <x v="0"/>
    <s v="Nov"/>
    <x v="2"/>
    <n v="3.1385079357180642E-2"/>
    <n v="-3.3345107048245392E-3"/>
    <s v="Normal"/>
  </r>
  <r>
    <d v="2013-11-14T00:00:00"/>
    <n v="367.39999399999999"/>
    <n v="65.270034999999993"/>
    <n v="433.39999399999999"/>
    <n v="48.938572000000001"/>
    <x v="0"/>
    <s v="Nov"/>
    <x v="2"/>
    <n v="4.8176892457978395E-3"/>
    <n v="1.1998592690335632E-3"/>
    <s v="Normal"/>
  </r>
  <r>
    <d v="2013-11-15T00:00:00"/>
    <n v="369.17001299999998"/>
    <n v="64.911713000000006"/>
    <n v="433.92001299999998"/>
    <n v="49.965713999999998"/>
    <x v="0"/>
    <s v="Nov"/>
    <x v="2"/>
    <n v="-8.0993035585475871E-3"/>
    <n v="0.81008012875405222"/>
    <s v="High Volatility"/>
  </r>
  <r>
    <d v="2013-11-18T00:00:00"/>
    <n v="366.17999300000002"/>
    <n v="63.997062999999997"/>
    <n v="785.42999299999997"/>
    <n v="48.824286999999998"/>
    <x v="0"/>
    <s v="Nov"/>
    <x v="2"/>
    <n v="-3.3862882290241121E-3"/>
    <n v="-0.17791527220173259"/>
    <s v="High Volatility"/>
  </r>
  <r>
    <d v="2013-11-19T00:00:00"/>
    <n v="364.94000199999999"/>
    <n v="63.799042"/>
    <n v="645.69000200000005"/>
    <n v="48.184283999999998"/>
    <x v="0"/>
    <s v="Nov"/>
    <x v="2"/>
    <n v="-6.4942044911810385E-3"/>
    <n v="-1.1956249866170394E-2"/>
    <s v="Normal"/>
  </r>
  <r>
    <d v="2013-11-20T00:00:00"/>
    <n v="362.57000699999998"/>
    <n v="64.110198999999994"/>
    <n v="637.96997099999999"/>
    <n v="48.502856999999999"/>
    <x v="0"/>
    <s v="Nov"/>
    <x v="2"/>
    <n v="1.7513875603063903E-2"/>
    <n v="0.19897488560633217"/>
    <s v="High Volatility"/>
  </r>
  <r>
    <d v="2013-11-21T00:00:00"/>
    <n v="368.92001299999998"/>
    <n v="65.204048"/>
    <n v="764.90997300000004"/>
    <n v="49.785713000000001"/>
    <x v="0"/>
    <s v="Nov"/>
    <x v="2"/>
    <n v="9.1889430785638201E-3"/>
    <n v="4.8489401771729758E-2"/>
    <s v="Normal"/>
  </r>
  <r>
    <d v="2013-11-22T00:00:00"/>
    <n v="372.30999800000001"/>
    <n v="65.769783000000004"/>
    <n v="802"/>
    <n v="49.692855999999999"/>
    <x v="0"/>
    <s v="Nov"/>
    <x v="2"/>
    <n v="1.1630138925251204E-2"/>
    <n v="3.4900236907730718E-2"/>
    <s v="Normal"/>
  </r>
  <r>
    <d v="2013-11-25T00:00:00"/>
    <n v="376.64001500000001"/>
    <n v="65.552909999999997"/>
    <n v="829.98999000000003"/>
    <n v="50.034286000000002"/>
    <x v="0"/>
    <s v="Nov"/>
    <x v="2"/>
    <n v="1.2558357613701804E-2"/>
    <n v="0.16864062661767756"/>
    <s v="High Volatility"/>
  </r>
  <r>
    <d v="2013-11-26T00:00:00"/>
    <n v="381.36999500000002"/>
    <n v="65.439757999999998"/>
    <n v="969.96002199999998"/>
    <n v="50.742859000000003"/>
    <x v="0"/>
    <s v="Nov"/>
    <x v="2"/>
    <n v="1.4002139837980659E-2"/>
    <n v="0.11333456071037944"/>
    <s v="High Volatility"/>
  </r>
  <r>
    <d v="2013-11-27T00:00:00"/>
    <n v="386.709991"/>
    <n v="65.354889"/>
    <n v="1079.8900149999999"/>
    <n v="51.784286000000002"/>
    <x v="0"/>
    <s v="Nov"/>
    <x v="2"/>
    <n v="1.7868697889421779E-2"/>
    <n v="0.11764164612634184"/>
    <s v="High Volatility"/>
  </r>
  <r>
    <d v="2013-11-29T00:00:00"/>
    <n v="393.61999500000002"/>
    <n v="65.185158000000001"/>
    <n v="1206.9300539999999"/>
    <n v="52.257140999999997"/>
    <x v="0"/>
    <s v="Nov"/>
    <x v="2"/>
    <n v="-3.3535059620130128E-3"/>
    <n v="-9.1446885951851548E-2"/>
    <s v="High Volatility"/>
  </r>
  <r>
    <d v="2013-12-02T00:00:00"/>
    <n v="392.29998799999998"/>
    <n v="64.657111999999998"/>
    <n v="1096.5600589999999"/>
    <n v="51.988571"/>
    <x v="0"/>
    <s v="Dec"/>
    <x v="2"/>
    <n v="-1.9474851475141951E-2"/>
    <n v="5.3166195067478876E-2"/>
    <s v="High Volatility"/>
  </r>
  <r>
    <d v="2013-12-03T00:00:00"/>
    <n v="384.66000400000001"/>
    <n v="64.345946999999995"/>
    <n v="1154.8599850000001"/>
    <n v="51.848571999999997"/>
    <x v="0"/>
    <s v="Dec"/>
    <x v="2"/>
    <n v="3.3795741342528226E-3"/>
    <n v="7.1601808941366946E-2"/>
    <s v="High Volatility"/>
  </r>
  <r>
    <d v="2013-12-04T00:00:00"/>
    <n v="385.959991"/>
    <n v="64.789124000000001"/>
    <n v="1237.5500489999999"/>
    <n v="50.895713999999998"/>
    <x v="0"/>
    <s v="Dec"/>
    <x v="2"/>
    <n v="-3.8086875175619558E-3"/>
    <n v="-0.10601597333862656"/>
    <s v="High Volatility"/>
  </r>
  <r>
    <d v="2013-12-05T00:00:00"/>
    <n v="384.48998999999998"/>
    <n v="65.354889"/>
    <n v="1106.349976"/>
    <n v="51.151428000000003"/>
    <x v="0"/>
    <s v="Dec"/>
    <x v="2"/>
    <n v="6.3981431610223138E-3"/>
    <n v="-0.23620912158812207"/>
    <s v="High Volatility"/>
  </r>
  <r>
    <d v="2013-12-06T00:00:00"/>
    <n v="386.95001200000002"/>
    <n v="65.798079999999999"/>
    <n v="845.02002000000005"/>
    <n v="50.634284999999998"/>
    <x v="0"/>
    <s v="Dec"/>
    <x v="2"/>
    <n v="-5.3236773126137281E-3"/>
    <n v="8.7489041975597176E-2"/>
    <s v="High Volatility"/>
  </r>
  <r>
    <d v="2013-12-09T00:00:00"/>
    <n v="384.89001500000001"/>
    <n v="66.590141000000003"/>
    <n v="918.95001200000002"/>
    <n v="50.810001"/>
    <x v="0"/>
    <s v="Dec"/>
    <x v="2"/>
    <n v="7.5085969689288245E-3"/>
    <n v="0.12489249415233696"/>
    <s v="High Volatility"/>
  </r>
  <r>
    <d v="2013-12-10T00:00:00"/>
    <n v="387.77999899999998"/>
    <n v="65.760361000000003"/>
    <n v="1033.719971"/>
    <n v="51.871428999999999"/>
    <x v="0"/>
    <s v="Dec"/>
    <x v="2"/>
    <n v="-1.4415382470512573E-2"/>
    <n v="-0.1100781461055859"/>
    <s v="High Volatility"/>
  </r>
  <r>
    <d v="2013-12-11T00:00:00"/>
    <n v="382.19000199999999"/>
    <n v="65.268615999999994"/>
    <n v="919.92999299999997"/>
    <n v="51.997143000000001"/>
    <x v="0"/>
    <s v="Dec"/>
    <x v="2"/>
    <n v="-2.4595148880948298E-3"/>
    <n v="-2.1686446959882973E-2"/>
    <s v="Normal"/>
  </r>
  <r>
    <d v="2013-12-12T00:00:00"/>
    <n v="381.25"/>
    <n v="65.278084000000007"/>
    <n v="899.97997999999995"/>
    <n v="53.332858999999999"/>
    <x v="0"/>
    <s v="Dec"/>
    <x v="2"/>
    <n v="7.8425967213114171E-3"/>
    <n v="4.0878731546895176E-2"/>
    <s v="Normal"/>
  </r>
  <r>
    <d v="2013-12-13T00:00:00"/>
    <n v="384.23998999999998"/>
    <n v="65.429374999999993"/>
    <n v="936.77002000000005"/>
    <n v="52.709999000000003"/>
    <x v="0"/>
    <s v="Dec"/>
    <x v="2"/>
    <n v="1.2310043522539253E-2"/>
    <n v="-0.18878703761249749"/>
    <s v="High Volatility"/>
  </r>
  <r>
    <d v="2013-12-16T00:00:00"/>
    <n v="388.97000100000002"/>
    <n v="65.732017999999997"/>
    <n v="759.919983"/>
    <n v="52.330002"/>
    <x v="0"/>
    <s v="Dec"/>
    <x v="2"/>
    <n v="-3.3935958984148812E-3"/>
    <n v="-5.9150980373679704E-2"/>
    <s v="High Volatility"/>
  </r>
  <r>
    <d v="2013-12-17T00:00:00"/>
    <n v="387.64999399999999"/>
    <n v="65.741446999999994"/>
    <n v="714.96997099999999"/>
    <n v="53.552855999999998"/>
    <x v="0"/>
    <s v="Dec"/>
    <x v="2"/>
    <n v="2.1436855742605815E-2"/>
    <n v="-0.24335286523523103"/>
    <s v="High Volatility"/>
  </r>
  <r>
    <d v="2013-12-18T00:00:00"/>
    <n v="395.959991"/>
    <n v="66.157532000000003"/>
    <n v="540.97997999999995"/>
    <n v="53.748573"/>
    <x v="0"/>
    <s v="Dec"/>
    <x v="2"/>
    <n v="-1.9446131364317806E-3"/>
    <n v="0.35300757710109731"/>
    <s v="High Volatility"/>
  </r>
  <r>
    <d v="2013-12-19T00:00:00"/>
    <n v="395.19000199999999"/>
    <n v="64.947090000000003"/>
    <n v="731.95001200000002"/>
    <n v="53.82"/>
    <x v="0"/>
    <s v="Dec"/>
    <x v="2"/>
    <n v="1.7738328309226867E-2"/>
    <n v="-0.11201583257846853"/>
    <s v="High Volatility"/>
  </r>
  <r>
    <d v="2013-12-20T00:00:00"/>
    <n v="402.20001200000002"/>
    <n v="65.202393000000001"/>
    <n v="649.96002199999998"/>
    <n v="53.667141000000001"/>
    <x v="0"/>
    <s v="Dec"/>
    <x v="2"/>
    <n v="1.7901565850772969E-3"/>
    <n v="9.7359784999207319E-2"/>
    <s v="High Volatility"/>
  </r>
  <r>
    <d v="2013-12-23T00:00:00"/>
    <n v="402.92001299999998"/>
    <n v="65.892746000000002"/>
    <n v="713.23999000000003"/>
    <n v="54.368572"/>
    <x v="0"/>
    <s v="Dec"/>
    <x v="2"/>
    <n v="-9.2326041893579704E-3"/>
    <n v="-1.470751801227527E-2"/>
    <s v="Normal"/>
  </r>
  <r>
    <d v="2013-12-24T00:00:00"/>
    <n v="399.20001200000002"/>
    <n v="66.062965000000005"/>
    <n v="702.75"/>
    <n v="54.055714000000002"/>
    <x v="0"/>
    <s v="Dec"/>
    <x v="2"/>
    <n v="1.3001009128226153E-2"/>
    <n v="0.14120239060832437"/>
    <s v="High Volatility"/>
  </r>
  <r>
    <d v="2013-12-26T00:00:00"/>
    <n v="404.39001500000001"/>
    <n v="66.838393999999994"/>
    <n v="801.97997999999995"/>
    <n v="53.847141000000001"/>
    <x v="0"/>
    <s v="Dec"/>
    <x v="2"/>
    <n v="-1.5603817517601141E-2"/>
    <n v="1.3342078688797568E-3"/>
    <s v="Normal"/>
  </r>
  <r>
    <d v="2013-12-27T00:00:00"/>
    <n v="398.07998700000002"/>
    <n v="66.384476000000006"/>
    <n v="803.04998799999998"/>
    <n v="52.5"/>
    <x v="0"/>
    <s v="Dec"/>
    <x v="2"/>
    <n v="-1.1831772894425862E-2"/>
    <n v="2.2165855508362365E-3"/>
    <s v="Normal"/>
  </r>
  <r>
    <d v="2013-12-30T00:00:00"/>
    <n v="393.36999500000002"/>
    <n v="66.119704999999996"/>
    <n v="804.830017"/>
    <n v="52.427143000000001"/>
    <x v="0"/>
    <s v="Dec"/>
    <x v="2"/>
    <n v="1.377841235704818E-2"/>
    <n v="1.3791545749467884E-3"/>
    <s v="Normal"/>
  </r>
  <r>
    <d v="2013-12-31T00:00:00"/>
    <n v="398.790009"/>
    <n v="65.864372000000003"/>
    <n v="805.94000200000005"/>
    <n v="52.595714999999998"/>
    <x v="0"/>
    <s v="Dec"/>
    <x v="2"/>
    <n v="-2.0562400799764595E-3"/>
    <n v="6.3242885169509155E-2"/>
    <s v="High Volatility"/>
  </r>
  <r>
    <d v="2014-01-02T00:00:00"/>
    <n v="397.97000100000002"/>
    <n v="65.192986000000005"/>
    <n v="856.90997300000004"/>
    <n v="51.831429"/>
    <x v="1"/>
    <s v="Jan"/>
    <x v="3"/>
    <n v="-3.844508370368429E-3"/>
    <n v="3.1917048303509388E-2"/>
    <s v="Normal"/>
  </r>
  <r>
    <d v="2014-01-03T00:00:00"/>
    <n v="396.44000199999999"/>
    <n v="65.230819999999994"/>
    <n v="884.26000999999997"/>
    <n v="51.871428999999999"/>
    <x v="1"/>
    <s v="Jan"/>
    <x v="3"/>
    <n v="-7.0880763440214342E-3"/>
    <n v="0.14519486638324861"/>
    <s v="High Volatility"/>
  </r>
  <r>
    <d v="2014-01-06T00:00:00"/>
    <n v="393.63000499999998"/>
    <n v="65.344261000000003"/>
    <n v="1012.650024"/>
    <n v="51.367142000000001"/>
    <x v="1"/>
    <s v="Jan"/>
    <x v="3"/>
    <n v="1.1177994421436426E-2"/>
    <n v="-0.13109168701308399"/>
    <s v="High Volatility"/>
  </r>
  <r>
    <d v="2014-01-07T00:00:00"/>
    <n v="398.02999899999998"/>
    <n v="65.883269999999996"/>
    <n v="879.90002400000003"/>
    <n v="48.5"/>
    <x v="1"/>
    <s v="Jan"/>
    <x v="3"/>
    <n v="9.7731678762233397E-3"/>
    <n v="6.6984886228392618E-2"/>
    <s v="High Volatility"/>
  </r>
  <r>
    <d v="2014-01-08T00:00:00"/>
    <n v="401.92001299999998"/>
    <n v="65.987312000000003"/>
    <n v="938.84002699999996"/>
    <n v="48.712856000000002"/>
    <x v="1"/>
    <s v="Jan"/>
    <x v="3"/>
    <n v="-2.2641395565439551E-3"/>
    <n v="-2.0131384960645148E-3"/>
    <s v="Normal"/>
  </r>
  <r>
    <d v="2014-01-09T00:00:00"/>
    <n v="401.01001000000002"/>
    <n v="66.460144"/>
    <n v="936.95001200000002"/>
    <n v="48.150002000000001"/>
    <x v="1"/>
    <s v="Jan"/>
    <x v="3"/>
    <n v="-8.3539211402728006E-3"/>
    <n v="2.2210360994157231E-2"/>
    <s v="Normal"/>
  </r>
  <r>
    <d v="2014-01-10T00:00:00"/>
    <n v="397.66000400000001"/>
    <n v="67.339591999999996"/>
    <n v="957.76000999999997"/>
    <n v="47.448569999999997"/>
    <x v="1"/>
    <s v="Jan"/>
    <x v="3"/>
    <n v="-1.6798252106842569E-2"/>
    <n v="-3.6387024553259359E-2"/>
    <s v="Normal"/>
  </r>
  <r>
    <d v="2014-01-13T00:00:00"/>
    <n v="390.98001099999999"/>
    <n v="67.093711999999996"/>
    <n v="922.90997300000004"/>
    <n v="48.115715000000002"/>
    <x v="1"/>
    <s v="Jan"/>
    <x v="3"/>
    <n v="1.6778346246453014E-2"/>
    <n v="-3.9331506931283566E-3"/>
    <s v="Normal"/>
  </r>
  <r>
    <d v="2014-01-14T00:00:00"/>
    <n v="397.540009"/>
    <n v="67.141006000000004"/>
    <n v="919.28002900000001"/>
    <n v="48.279998999999997"/>
    <x v="1"/>
    <s v="Jan"/>
    <x v="3"/>
    <n v="-4.2008702575643915E-3"/>
    <n v="2.3866440374938215E-2"/>
    <s v="Normal"/>
  </r>
  <r>
    <d v="2014-01-15T00:00:00"/>
    <n v="395.86999500000002"/>
    <n v="67.339591999999996"/>
    <n v="941.21997099999999"/>
    <n v="47.197144000000002"/>
    <x v="1"/>
    <s v="Jan"/>
    <x v="3"/>
    <n v="-1.7684341042324347E-4"/>
    <n v="-2.9461743114670855E-2"/>
    <s v="Normal"/>
  </r>
  <r>
    <d v="2014-01-16T00:00:00"/>
    <n v="395.79998799999998"/>
    <n v="67.216674999999995"/>
    <n v="913.48999000000003"/>
    <n v="47.382857999999999"/>
    <x v="1"/>
    <s v="Jan"/>
    <x v="3"/>
    <n v="9.626066486894411E-3"/>
    <n v="-2.1160622679620166E-2"/>
    <s v="Normal"/>
  </r>
  <r>
    <d v="2014-01-17T00:00:00"/>
    <n v="399.60998499999999"/>
    <n v="67.755645999999999"/>
    <n v="894.15997300000004"/>
    <n v="47.148570999999997"/>
    <x v="1"/>
    <s v="Jan"/>
    <x v="3"/>
    <n v="1.8618160905063446E-2"/>
    <n v="7.610500475847172E-2"/>
    <s v="High Volatility"/>
  </r>
  <r>
    <d v="2014-01-21T00:00:00"/>
    <n v="407.04998799999998"/>
    <n v="68.096123000000006"/>
    <n v="962.21002199999998"/>
    <n v="46.958571999999997"/>
    <x v="1"/>
    <s v="Jan"/>
    <x v="3"/>
    <n v="-6.1662672251448078E-3"/>
    <n v="-1.1702237289729628E-2"/>
    <s v="Normal"/>
  </r>
  <r>
    <d v="2014-01-22T00:00:00"/>
    <n v="404.540009"/>
    <n v="69.401107999999994"/>
    <n v="950.95001200000002"/>
    <n v="47.675713000000002"/>
    <x v="1"/>
    <s v="Jan"/>
    <x v="3"/>
    <n v="-1.1544010224214883E-2"/>
    <n v="-7.1402691143769379E-3"/>
    <s v="Normal"/>
  </r>
  <r>
    <d v="2014-01-23T00:00:00"/>
    <n v="399.86999500000002"/>
    <n v="68.890441999999993"/>
    <n v="944.15997300000004"/>
    <n v="55.531429000000003"/>
    <x v="1"/>
    <s v="Jan"/>
    <x v="3"/>
    <n v="-3.0684945490846365E-2"/>
    <n v="-2.9242909877095637E-2"/>
    <s v="Normal"/>
  </r>
  <r>
    <d v="2014-01-24T00:00:00"/>
    <n v="387.60000600000001"/>
    <n v="67.311211"/>
    <n v="916.54998799999998"/>
    <n v="55.154285000000002"/>
    <x v="1"/>
    <s v="Jan"/>
    <x v="3"/>
    <n v="-3.4055907625554381E-3"/>
    <n v="2.9447373687598623E-2"/>
    <s v="Normal"/>
  </r>
  <r>
    <d v="2014-01-27T00:00:00"/>
    <n v="386.27999899999998"/>
    <n v="66.299362000000002"/>
    <n v="943.53997800000002"/>
    <n v="54.46143"/>
    <x v="1"/>
    <s v="Jan"/>
    <x v="3"/>
    <n v="2.109866941363446E-2"/>
    <n v="-1.1509830270276106E-2"/>
    <s v="Normal"/>
  </r>
  <r>
    <d v="2014-01-28T00:00:00"/>
    <n v="394.42999300000002"/>
    <n v="66.062965000000005"/>
    <n v="932.67999299999997"/>
    <n v="58.110000999999997"/>
    <x v="1"/>
    <s v="Jan"/>
    <x v="3"/>
    <n v="-2.5936113332030532E-2"/>
    <n v="-7.51598624674258E-3"/>
    <s v="Normal"/>
  </r>
  <r>
    <d v="2014-01-29T00:00:00"/>
    <n v="384.20001200000002"/>
    <n v="64.966010999999995"/>
    <n v="925.669983"/>
    <n v="57.202857999999999"/>
    <x v="1"/>
    <s v="Jan"/>
    <x v="3"/>
    <n v="4.8958868850842219E-2"/>
    <n v="1.6982328787472356E-2"/>
    <s v="Normal"/>
  </r>
  <r>
    <d v="2014-01-30T00:00:00"/>
    <n v="403.01001000000002"/>
    <n v="65.788719"/>
    <n v="941.39001499999995"/>
    <n v="57.810001"/>
    <x v="1"/>
    <s v="Jan"/>
    <x v="3"/>
    <n v="-0.10997247438097139"/>
    <n v="-2.6981792450815182E-3"/>
    <s v="Normal"/>
  </r>
  <r>
    <d v="2014-01-31T00:00:00"/>
    <n v="358.69000199999999"/>
    <n v="66.772201999999993"/>
    <n v="938.84997599999997"/>
    <n v="58.475715999999998"/>
    <x v="1"/>
    <s v="Jan"/>
    <x v="3"/>
    <n v="-3.4960573001976233E-2"/>
    <n v="-7.6049999281248204E-3"/>
    <s v="Normal"/>
  </r>
  <r>
    <d v="2014-02-03T00:00:00"/>
    <n v="346.14999399999999"/>
    <n v="63.906875999999997"/>
    <n v="931.71002199999998"/>
    <n v="57.768569999999997"/>
    <x v="1"/>
    <s v="Feb"/>
    <x v="3"/>
    <n v="5.2001098691338496E-3"/>
    <n v="-5.4416147516764962E-3"/>
    <s v="Normal"/>
  </r>
  <r>
    <d v="2014-02-04T00:00:00"/>
    <n v="347.95001200000002"/>
    <n v="64.587768999999994"/>
    <n v="926.64001499999995"/>
    <n v="57.987144000000001"/>
    <x v="1"/>
    <s v="Feb"/>
    <x v="3"/>
    <n v="-4.3109640703216873E-3"/>
    <n v="-2.3871184755603184E-2"/>
    <s v="Normal"/>
  </r>
  <r>
    <d v="2014-02-05T00:00:00"/>
    <n v="346.45001200000002"/>
    <n v="63.519157"/>
    <n v="904.52002000000005"/>
    <n v="57.774284000000002"/>
    <x v="1"/>
    <s v="Feb"/>
    <x v="3"/>
    <n v="2.3495406892928523E-2"/>
    <n v="-8.3635545181189055E-2"/>
    <s v="High Volatility"/>
  </r>
  <r>
    <d v="2014-02-06T00:00:00"/>
    <n v="354.58999599999999"/>
    <n v="63.98254"/>
    <n v="828.86999500000002"/>
    <n v="58.272857999999999"/>
    <x v="1"/>
    <s v="Feb"/>
    <x v="3"/>
    <n v="1.8302803444009266E-2"/>
    <n v="-0.16072480823726765"/>
    <s v="High Volatility"/>
  </r>
  <r>
    <d v="2014-02-07T00:00:00"/>
    <n v="361.07998700000002"/>
    <n v="65.722533999999996"/>
    <n v="695.65002400000003"/>
    <n v="61.425713000000002"/>
    <x v="1"/>
    <s v="Feb"/>
    <x v="3"/>
    <n v="-5.8156643281367937E-4"/>
    <n v="-0.16246677941608184"/>
    <s v="High Volatility"/>
  </r>
  <r>
    <d v="2014-02-10T00:00:00"/>
    <n v="360.86999500000002"/>
    <n v="66.081871000000007"/>
    <n v="582.63000499999998"/>
    <n v="61.491427999999999"/>
    <x v="1"/>
    <s v="Feb"/>
    <x v="3"/>
    <n v="2.549433349259144E-3"/>
    <n v="-6.2989941618265986E-3"/>
    <s v="Normal"/>
  </r>
  <r>
    <d v="2014-02-11T00:00:00"/>
    <n v="361.790009"/>
    <n v="66.630347999999998"/>
    <n v="578.96002199999998"/>
    <n v="61.998573"/>
    <x v="1"/>
    <s v="Feb"/>
    <x v="3"/>
    <n v="-3.4661015196801627E-2"/>
    <n v="-8.2613678289517545E-2"/>
    <s v="High Volatility"/>
  </r>
  <r>
    <d v="2014-02-12T00:00:00"/>
    <n v="349.25"/>
    <n v="66.961319000000003"/>
    <n v="531.13000499999998"/>
    <n v="61.275714999999998"/>
    <x v="1"/>
    <s v="Feb"/>
    <x v="3"/>
    <n v="2.2763098067287088E-2"/>
    <n v="-0.15003860118955245"/>
    <s v="High Volatility"/>
  </r>
  <r>
    <d v="2014-02-13T00:00:00"/>
    <n v="357.20001200000002"/>
    <n v="67.897530000000003"/>
    <n v="451.44000199999999"/>
    <n v="62.364285000000002"/>
    <x v="1"/>
    <s v="Feb"/>
    <x v="3"/>
    <n v="4.1991599933090821E-4"/>
    <n v="-5.263159865040043E-2"/>
    <s v="High Volatility"/>
  </r>
  <r>
    <d v="2014-02-14T00:00:00"/>
    <n v="357.35000600000001"/>
    <n v="68.256850999999997"/>
    <n v="427.67999300000002"/>
    <n v="62.215713999999998"/>
    <x v="1"/>
    <s v="Feb"/>
    <x v="3"/>
    <n v="-1.035402808976031E-2"/>
    <n v="-0.31268701643473884"/>
    <s v="High Volatility"/>
  </r>
  <r>
    <d v="2014-02-18T00:00:00"/>
    <n v="353.64999399999999"/>
    <n v="68.143394000000001"/>
    <n v="293.95001200000002"/>
    <n v="62.407142999999998"/>
    <x v="1"/>
    <s v="Feb"/>
    <x v="3"/>
    <n v="-1.7729362664714227E-2"/>
    <n v="-0.11029090551627546"/>
    <s v="High Volatility"/>
  </r>
  <r>
    <d v="2014-02-19T00:00:00"/>
    <n v="347.38000499999998"/>
    <n v="67.935333"/>
    <n v="261.52999899999998"/>
    <n v="61.175713000000002"/>
    <x v="1"/>
    <s v="Feb"/>
    <x v="3"/>
    <n v="6.9663854141518659E-3"/>
    <n v="-0.57205674902327353"/>
    <s v="High Volatility"/>
  </r>
  <r>
    <d v="2014-02-20T00:00:00"/>
    <n v="349.79998799999998"/>
    <n v="68.332520000000002"/>
    <n v="111.91999800000001"/>
    <n v="62.135714999999998"/>
    <x v="1"/>
    <s v="Feb"/>
    <x v="3"/>
    <n v="-8.6906177938461289E-3"/>
    <n v="-3.2165833312471433E-3"/>
    <s v="Normal"/>
  </r>
  <r>
    <d v="2014-02-21T00:00:00"/>
    <n v="346.76001000000002"/>
    <n v="69.268699999999995"/>
    <n v="111.55999799999999"/>
    <n v="61.747143000000001"/>
    <x v="1"/>
    <s v="Feb"/>
    <x v="3"/>
    <n v="1.4476839471771709E-2"/>
    <n v="0.5596988447418223"/>
    <s v="High Volatility"/>
  </r>
  <r>
    <d v="2014-02-24T00:00:00"/>
    <n v="351.77999899999998"/>
    <n v="70.630447000000004"/>
    <n v="174"/>
    <n v="63.857143000000001"/>
    <x v="1"/>
    <s v="Feb"/>
    <x v="3"/>
    <n v="1.8591187726963412E-2"/>
    <n v="-0.21965517816091951"/>
    <s v="High Volatility"/>
  </r>
  <r>
    <d v="2014-02-25T00:00:00"/>
    <n v="358.32000699999998"/>
    <n v="70.951965000000001"/>
    <n v="135.779999"/>
    <n v="64.718575000000001"/>
    <x v="1"/>
    <s v="Feb"/>
    <x v="3"/>
    <n v="4.1303331410127188E-3"/>
    <n v="3.3683901853615419"/>
    <s v="High Volatility"/>
  </r>
  <r>
    <d v="2014-02-26T00:00:00"/>
    <n v="359.79998799999998"/>
    <n v="73.429558"/>
    <n v="593.14001499999995"/>
    <n v="64.112853999999999"/>
    <x v="1"/>
    <s v="Feb"/>
    <x v="3"/>
    <n v="9.1722348806748161E-4"/>
    <n v="5.6478654538255797E-3"/>
    <s v="Normal"/>
  </r>
  <r>
    <d v="2014-02-27T00:00:00"/>
    <n v="360.13000499999998"/>
    <n v="73.751082999999994"/>
    <n v="596.48999000000003"/>
    <n v="64.604286000000002"/>
    <x v="1"/>
    <s v="Feb"/>
    <x v="3"/>
    <n v="5.4702495561291123E-3"/>
    <n v="-3.7804470113572207E-2"/>
    <s v="Normal"/>
  </r>
  <r>
    <d v="2014-02-28T00:00:00"/>
    <n v="362.10000600000001"/>
    <n v="74.762932000000006"/>
    <n v="573.94000200000005"/>
    <n v="63.661430000000003"/>
    <x v="1"/>
    <s v="Feb"/>
    <x v="3"/>
    <n v="-6.4070890957125043E-3"/>
    <n v="0.15374427761179105"/>
    <s v="High Volatility"/>
  </r>
  <r>
    <d v="2014-03-03T00:00:00"/>
    <n v="359.77999899999998"/>
    <n v="74.498146000000006"/>
    <n v="662.17999299999997"/>
    <n v="63.655715999999998"/>
    <x v="1"/>
    <s v="Mar"/>
    <x v="3"/>
    <n v="1.1451428682671206E-2"/>
    <n v="-4.9837959994058296E-4"/>
    <s v="Normal"/>
  </r>
  <r>
    <d v="2014-03-04T00:00:00"/>
    <n v="363.89999399999999"/>
    <n v="75.160094999999998"/>
    <n v="661.84997599999997"/>
    <n v="64.997146999999998"/>
    <x v="1"/>
    <s v="Mar"/>
    <x v="3"/>
    <n v="2.327562830352788E-2"/>
    <n v="-5.3637351797682694E-3"/>
    <s v="Normal"/>
  </r>
  <r>
    <d v="2014-03-05T00:00:00"/>
    <n v="372.36999500000002"/>
    <n v="74.810203999999999"/>
    <n v="658.29998799999998"/>
    <n v="64.785713000000001"/>
    <x v="1"/>
    <s v="Mar"/>
    <x v="3"/>
    <n v="-5.6393104390702119E-4"/>
    <n v="-1.5251371993037343E-2"/>
    <s v="Normal"/>
  </r>
  <r>
    <d v="2014-03-06T00:00:00"/>
    <n v="372.16000400000001"/>
    <n v="74.885857000000001"/>
    <n v="648.26000999999997"/>
    <n v="64.358574000000004"/>
    <x v="1"/>
    <s v="Mar"/>
    <x v="3"/>
    <n v="-2.6871775291577971E-4"/>
    <n v="-4.8637937731189081E-2"/>
    <s v="Normal"/>
  </r>
  <r>
    <d v="2014-03-07T00:00:00"/>
    <n v="372.05999800000001"/>
    <n v="75.027709999999999"/>
    <n v="616.72997999999995"/>
    <n v="64.052856000000006"/>
    <x v="1"/>
    <s v="Mar"/>
    <x v="3"/>
    <n v="-4.1122372956633518E-3"/>
    <n v="-6.0966859434982692E-3"/>
    <s v="Normal"/>
  </r>
  <r>
    <d v="2014-03-10T00:00:00"/>
    <n v="370.52999899999998"/>
    <n v="75.235755999999995"/>
    <n v="612.96997099999999"/>
    <n v="62.849997999999999"/>
    <x v="1"/>
    <s v="Mar"/>
    <x v="3"/>
    <n v="-4.6149893520497373E-3"/>
    <n v="-6.9823469378403492E-3"/>
    <s v="Normal"/>
  </r>
  <r>
    <d v="2014-03-11T00:00:00"/>
    <n v="368.82000699999998"/>
    <n v="74.753471000000005"/>
    <n v="608.69000200000005"/>
    <n v="62.497143000000001"/>
    <x v="1"/>
    <s v="Mar"/>
    <x v="3"/>
    <n v="4.9346780691320521E-3"/>
    <n v="1.7644434711776187E-2"/>
    <s v="Normal"/>
  </r>
  <r>
    <d v="2014-03-12T00:00:00"/>
    <n v="370.64001500000001"/>
    <n v="75.815948000000006"/>
    <n v="619.42999299999997"/>
    <n v="62.368572"/>
    <x v="1"/>
    <s v="Mar"/>
    <x v="3"/>
    <n v="2.3472775868520757E-3"/>
    <n v="9.0566893166247626E-3"/>
    <s v="Normal"/>
  </r>
  <r>
    <d v="2014-03-13T00:00:00"/>
    <n v="371.51001000000002"/>
    <n v="74.857810999999998"/>
    <n v="625.03997800000002"/>
    <n v="61.437140999999997"/>
    <x v="1"/>
    <s v="Mar"/>
    <x v="3"/>
    <n v="6.002476218608362E-3"/>
    <n v="-1.761479167337358E-2"/>
    <s v="Normal"/>
  </r>
  <r>
    <d v="2014-03-14T00:00:00"/>
    <n v="373.73998999999998"/>
    <n v="75.474449000000007"/>
    <n v="614.03002900000001"/>
    <n v="60.64143"/>
    <x v="1"/>
    <s v="Mar"/>
    <x v="3"/>
    <n v="3.4784048664420961E-3"/>
    <n v="-1.2458713155216111E-2"/>
    <s v="Normal"/>
  </r>
  <r>
    <d v="2014-03-17T00:00:00"/>
    <n v="375.040009"/>
    <n v="75.910820000000001"/>
    <n v="606.38000499999998"/>
    <n v="60.388573000000001"/>
    <x v="1"/>
    <s v="Mar"/>
    <x v="3"/>
    <n v="9.9455522357349661E-3"/>
    <n v="-1.2286044952949949E-2"/>
    <s v="Normal"/>
  </r>
  <r>
    <d v="2014-03-18T00:00:00"/>
    <n v="378.76998900000001"/>
    <n v="75.872855999999999"/>
    <n v="598.92999299999997"/>
    <n v="60.035713000000001"/>
    <x v="1"/>
    <s v="Mar"/>
    <x v="3"/>
    <n v="-1.4626232702929426E-2"/>
    <n v="-6.6284391271084452E-3"/>
    <s v="Normal"/>
  </r>
  <r>
    <d v="2014-03-19T00:00:00"/>
    <n v="373.23001099999999"/>
    <n v="74.250670999999997"/>
    <n v="594.96002199999998"/>
    <n v="60.012855999999999"/>
    <x v="1"/>
    <s v="Mar"/>
    <x v="3"/>
    <n v="-1.1413899939573631E-2"/>
    <n v="-4.8692401050099372E-2"/>
    <s v="Normal"/>
  </r>
  <r>
    <d v="2014-03-20T00:00:00"/>
    <n v="368.97000100000002"/>
    <n v="74.791411999999994"/>
    <n v="565.98999000000003"/>
    <n v="60.610000999999997"/>
    <x v="1"/>
    <s v="Mar"/>
    <x v="3"/>
    <n v="-2.26305823708416E-2"/>
    <n v="-2.895813404756516E-2"/>
    <s v="Normal"/>
  </r>
  <r>
    <d v="2014-03-21T00:00:00"/>
    <n v="360.61999500000002"/>
    <n v="73.548691000000005"/>
    <n v="549.59997599999997"/>
    <n v="57.998573"/>
    <x v="1"/>
    <s v="Mar"/>
    <x v="3"/>
    <n v="-2.4319197830392096E-2"/>
    <n v="3.2678352955386562E-2"/>
    <s v="Normal"/>
  </r>
  <r>
    <d v="2014-03-24T00:00:00"/>
    <n v="351.85000600000001"/>
    <n v="72.894119000000003"/>
    <n v="567.55999799999995"/>
    <n v="54.128571000000001"/>
    <x v="1"/>
    <s v="Mar"/>
    <x v="3"/>
    <n v="8.1284210636051388E-3"/>
    <n v="-8.2281750237091274E-3"/>
    <s v="Normal"/>
  </r>
  <r>
    <d v="2014-03-25T00:00:00"/>
    <n v="354.709991"/>
    <n v="72.704384000000005"/>
    <n v="562.89001499999995"/>
    <n v="52.977142000000001"/>
    <x v="1"/>
    <s v="Mar"/>
    <x v="3"/>
    <n v="-3.1856974110436004E-2"/>
    <n v="-7.8168556605135971E-4"/>
    <s v="Normal"/>
  </r>
  <r>
    <d v="2014-03-26T00:00:00"/>
    <n v="343.41000400000001"/>
    <n v="71.660872999999995"/>
    <n v="562.45001200000002"/>
    <n v="53.182858000000003"/>
    <x v="1"/>
    <s v="Mar"/>
    <x v="3"/>
    <n v="-1.4385145867794782E-2"/>
    <n v="-0.18134944941560424"/>
    <s v="High Volatility"/>
  </r>
  <r>
    <d v="2014-03-27T00:00:00"/>
    <n v="338.47000100000002"/>
    <n v="71.395240999999999"/>
    <n v="460.45001200000002"/>
    <n v="52.025714999999998"/>
    <x v="1"/>
    <s v="Mar"/>
    <x v="3"/>
    <n v="-5.3178124935221959E-4"/>
    <n v="4.8126772553976994E-2"/>
    <s v="Normal"/>
  </r>
  <r>
    <d v="2014-03-28T00:00:00"/>
    <n v="338.290009"/>
    <n v="72.315467999999996"/>
    <n v="482.60998499999999"/>
    <n v="51.267142999999997"/>
    <x v="1"/>
    <s v="Mar"/>
    <x v="3"/>
    <n v="-5.675645005525364E-3"/>
    <n v="-3.9700738889602502E-2"/>
    <s v="Normal"/>
  </r>
  <r>
    <d v="2014-03-31T00:00:00"/>
    <n v="336.36999500000002"/>
    <n v="73.017441000000005"/>
    <n v="463.45001200000002"/>
    <n v="50.290000999999997"/>
    <x v="1"/>
    <s v="Mar"/>
    <x v="3"/>
    <n v="1.9680694171309663E-2"/>
    <n v="-8.4324125554235602E-2"/>
    <s v="High Volatility"/>
  </r>
  <r>
    <d v="2014-04-01T00:00:00"/>
    <n v="342.98998999999998"/>
    <n v="74.582718"/>
    <n v="424.36999500000002"/>
    <n v="52.098571999999997"/>
    <x v="1"/>
    <s v="Apr"/>
    <x v="0"/>
    <n v="-3.003000175019613E-3"/>
    <n v="2.8135832270610908E-2"/>
    <s v="Normal"/>
  </r>
  <r>
    <d v="2014-04-02T00:00:00"/>
    <n v="341.959991"/>
    <n v="74.184287999999995"/>
    <n v="436.30999800000001"/>
    <n v="51.84"/>
    <x v="1"/>
    <s v="Apr"/>
    <x v="0"/>
    <n v="-2.4388806350155699E-2"/>
    <n v="1.8450154791089586E-2"/>
    <s v="Normal"/>
  </r>
  <r>
    <d v="2014-04-03T00:00:00"/>
    <n v="333.61999500000002"/>
    <n v="73.634079"/>
    <n v="444.35998499999999"/>
    <n v="50.669998"/>
    <x v="1"/>
    <s v="Apr"/>
    <x v="0"/>
    <n v="-3.1832609433376485E-2"/>
    <n v="2.7612792362480588E-2"/>
    <s v="Normal"/>
  </r>
  <r>
    <d v="2014-04-04T00:00:00"/>
    <n v="323"/>
    <n v="71.556518999999994"/>
    <n v="456.63000499999998"/>
    <n v="48.187140999999997"/>
    <x v="1"/>
    <s v="Apr"/>
    <x v="0"/>
    <n v="-1.6222879256965875E-2"/>
    <n v="2.1746256030634747E-2"/>
    <s v="Normal"/>
  </r>
  <r>
    <d v="2014-04-07T00:00:00"/>
    <n v="317.76001000000002"/>
    <n v="69.896384999999995"/>
    <n v="466.55999800000001"/>
    <n v="48.285713000000001"/>
    <x v="1"/>
    <s v="Apr"/>
    <x v="0"/>
    <n v="2.9298831530122221E-2"/>
    <n v="-1.9761664179362464E-2"/>
    <s v="Normal"/>
  </r>
  <r>
    <d v="2014-04-08T00:00:00"/>
    <n v="327.07000699999998"/>
    <n v="71.860091999999995"/>
    <n v="457.33999599999999"/>
    <n v="49.841427000000003"/>
    <x v="1"/>
    <s v="Apr"/>
    <x v="0"/>
    <n v="1.4492282687357609E-2"/>
    <n v="-0.15898454461874795"/>
    <s v="High Volatility"/>
  </r>
  <r>
    <d v="2014-04-09T00:00:00"/>
    <n v="331.80999800000001"/>
    <n v="72.675940999999995"/>
    <n v="384.63000499999998"/>
    <n v="50.432858000000003"/>
    <x v="1"/>
    <s v="Apr"/>
    <x v="0"/>
    <n v="-4.4302501698577544E-2"/>
    <n v="0.13132103409353107"/>
    <s v="High Volatility"/>
  </r>
  <r>
    <d v="2014-04-10T00:00:00"/>
    <n v="317.10998499999999"/>
    <n v="70.475059999999999"/>
    <n v="435.14001500000001"/>
    <n v="47.818573000000001"/>
    <x v="1"/>
    <s v="Apr"/>
    <x v="0"/>
    <n v="-1.6965640485902721E-2"/>
    <n v="5.7682100323501323E-3"/>
    <s v="Normal"/>
  </r>
  <r>
    <d v="2014-04-11T00:00:00"/>
    <n v="311.73001099999999"/>
    <n v="68.976196000000002"/>
    <n v="437.64999399999999"/>
    <n v="46.672854999999998"/>
    <x v="1"/>
    <s v="Apr"/>
    <x v="0"/>
    <n v="1.3409016945757028E-2"/>
    <n v="0.20285616409719401"/>
    <s v="High Volatility"/>
  </r>
  <r>
    <d v="2014-04-14T00:00:00"/>
    <n v="315.91000400000001"/>
    <n v="69.962783999999999"/>
    <n v="526.42999299999997"/>
    <n v="47.368572"/>
    <x v="1"/>
    <s v="Apr"/>
    <x v="0"/>
    <n v="5.3807412822546132E-4"/>
    <n v="1.998369990290437E-2"/>
    <s v="Normal"/>
  </r>
  <r>
    <d v="2014-04-15T00:00:00"/>
    <n v="316.07998700000002"/>
    <n v="70.361221"/>
    <n v="536.95001200000002"/>
    <n v="46.610000999999997"/>
    <x v="1"/>
    <s v="Apr"/>
    <x v="0"/>
    <n v="2.4044565656097697E-2"/>
    <n v="-6.5089880284796439E-2"/>
    <s v="High Volatility"/>
  </r>
  <r>
    <d v="2014-04-16T00:00:00"/>
    <n v="323.67999300000002"/>
    <n v="71.120154999999997"/>
    <n v="502"/>
    <n v="47.344284000000002"/>
    <x v="1"/>
    <s v="Apr"/>
    <x v="0"/>
    <n v="3.8000834979009354E-3"/>
    <n v="-3.2828707171314725E-2"/>
    <s v="Normal"/>
  </r>
  <r>
    <d v="2014-04-17T00:00:00"/>
    <n v="324.91000400000001"/>
    <n v="70.465569000000002"/>
    <n v="485.51998900000001"/>
    <n v="49.39143"/>
    <x v="1"/>
    <s v="Apr"/>
    <x v="0"/>
    <n v="1.8343513362549472E-2"/>
    <n v="4.9225882644349898E-3"/>
    <s v="Normal"/>
  </r>
  <r>
    <d v="2014-04-21T00:00:00"/>
    <n v="330.86999500000002"/>
    <n v="70.541472999999996"/>
    <n v="487.91000400000001"/>
    <n v="49.784286000000002"/>
    <x v="1"/>
    <s v="Apr"/>
    <x v="0"/>
    <n v="-4.6845831396710412E-3"/>
    <n v="-1.2502633579942544E-3"/>
    <s v="Normal"/>
  </r>
  <r>
    <d v="2014-04-22T00:00:00"/>
    <n v="329.32000699999998"/>
    <n v="71.632423000000003"/>
    <n v="487.29998799999998"/>
    <n v="53.271427000000003"/>
    <x v="1"/>
    <s v="Apr"/>
    <x v="0"/>
    <n v="-1.4393355700371884E-2"/>
    <n v="2.6657133839289183E-2"/>
    <s v="Normal"/>
  </r>
  <r>
    <d v="2014-04-23T00:00:00"/>
    <n v="324.57998700000002"/>
    <n v="71.395240999999999"/>
    <n v="500.290009"/>
    <n v="50.5"/>
    <x v="1"/>
    <s v="Apr"/>
    <x v="0"/>
    <n v="3.8726993355878023E-2"/>
    <n v="-7.1558532762943938E-2"/>
    <s v="High Volatility"/>
  </r>
  <r>
    <d v="2014-04-24T00:00:00"/>
    <n v="337.14999399999999"/>
    <n v="71.233993999999996"/>
    <n v="464.48998999999998"/>
    <n v="49.152858999999999"/>
    <x v="1"/>
    <s v="Apr"/>
    <x v="0"/>
    <n v="-9.8828437173277772E-2"/>
    <n v="-1.4252180116949261E-2"/>
    <s v="Normal"/>
  </r>
  <r>
    <d v="2014-04-25T00:00:00"/>
    <n v="303.82998700000002"/>
    <n v="69.972274999999996"/>
    <n v="457.86999500000002"/>
    <n v="46.011429"/>
    <x v="1"/>
    <s v="Apr"/>
    <x v="0"/>
    <n v="-2.3862029128810119E-2"/>
    <n v="-2.5662306174921986E-2"/>
    <s v="Normal"/>
  </r>
  <r>
    <d v="2014-04-28T00:00:00"/>
    <n v="296.57998700000002"/>
    <n v="68.957222000000002"/>
    <n v="446.11999500000002"/>
    <n v="44.887141999999997"/>
    <x v="1"/>
    <s v="Apr"/>
    <x v="0"/>
    <n v="1.2812793062803545E-2"/>
    <n v="-1.0983367826856412E-3"/>
    <s v="Normal"/>
  </r>
  <r>
    <d v="2014-04-29T00:00:00"/>
    <n v="300.38000499999998"/>
    <n v="68.852890000000002"/>
    <n v="445.63000499999998"/>
    <n v="45.695712999999998"/>
    <x v="1"/>
    <s v="Apr"/>
    <x v="0"/>
    <n v="1.2484186489044103E-2"/>
    <n v="3.2538203974842313E-2"/>
    <s v="Normal"/>
  </r>
  <r>
    <d v="2014-04-30T00:00:00"/>
    <n v="304.13000499999998"/>
    <n v="70.560447999999994"/>
    <n v="460.13000499999998"/>
    <n v="46.005713999999998"/>
    <x v="1"/>
    <s v="Apr"/>
    <x v="0"/>
    <n v="1.2363166863460324E-2"/>
    <n v="-1.4039493034148033E-2"/>
    <s v="Normal"/>
  </r>
  <r>
    <d v="2014-05-01T00:00:00"/>
    <n v="307.89001500000001"/>
    <n v="68.112938"/>
    <n v="453.67001299999998"/>
    <n v="48.074286999999998"/>
    <x v="1"/>
    <s v="May"/>
    <x v="0"/>
    <n v="3.8973332733774162E-4"/>
    <n v="-3.3107806488413397E-2"/>
    <s v="Normal"/>
  </r>
  <r>
    <d v="2014-05-02T00:00:00"/>
    <n v="308.01001000000002"/>
    <n v="69.241821000000002"/>
    <n v="438.64999399999999"/>
    <n v="48.664287999999999"/>
    <x v="1"/>
    <s v="May"/>
    <x v="0"/>
    <n v="6.6230899443818795E-3"/>
    <n v="-1.4726985269262308E-2"/>
    <s v="Normal"/>
  </r>
  <r>
    <d v="2014-05-05T00:00:00"/>
    <n v="310.04998799999998"/>
    <n v="68.786475999999993"/>
    <n v="432.19000199999999"/>
    <n v="49.197144000000002"/>
    <x v="1"/>
    <s v="May"/>
    <x v="0"/>
    <n v="-4.0864323465156858E-2"/>
    <n v="3.3226094850754999E-2"/>
    <s v="Normal"/>
  </r>
  <r>
    <d v="2014-05-06T00:00:00"/>
    <n v="297.38000499999998"/>
    <n v="68.539833000000002"/>
    <n v="446.54998799999998"/>
    <n v="46.598571999999997"/>
    <x v="1"/>
    <s v="May"/>
    <x v="0"/>
    <n v="-1.5703860116620755E-2"/>
    <n v="-1.2182293463637917E-2"/>
    <s v="Normal"/>
  </r>
  <r>
    <d v="2014-05-07T00:00:00"/>
    <n v="292.709991"/>
    <n v="67.875771"/>
    <n v="441.10998499999999"/>
    <n v="45.791428000000003"/>
    <x v="1"/>
    <s v="May"/>
    <x v="0"/>
    <n v="-1.4997725171601767E-2"/>
    <n v="9.8388772586955175E-3"/>
    <s v="Normal"/>
  </r>
  <r>
    <d v="2014-05-08T00:00:00"/>
    <n v="288.32000699999998"/>
    <n v="67.477333000000002"/>
    <n v="445.45001200000002"/>
    <n v="45.951427000000002"/>
    <x v="1"/>
    <s v="May"/>
    <x v="0"/>
    <n v="1.3595945147157278E-2"/>
    <n v="1.4479698790534496E-2"/>
    <s v="Normal"/>
  </r>
  <r>
    <d v="2014-05-09T00:00:00"/>
    <n v="292.23998999999998"/>
    <n v="67.543746999999996"/>
    <n v="451.89999399999999"/>
    <n v="46.935715000000002"/>
    <x v="1"/>
    <s v="May"/>
    <x v="0"/>
    <n v="3.633997865932044E-2"/>
    <n v="-3.9787522103839658E-2"/>
    <s v="Normal"/>
  </r>
  <r>
    <d v="2014-05-12T00:00:00"/>
    <n v="302.85998499999999"/>
    <n v="68.729561000000004"/>
    <n v="433.92001299999998"/>
    <n v="49.349997999999999"/>
    <x v="1"/>
    <s v="May"/>
    <x v="0"/>
    <n v="5.8774023910752376E-3"/>
    <n v="2.0072805445827638E-2"/>
    <s v="Normal"/>
  </r>
  <r>
    <d v="2014-05-13T00:00:00"/>
    <n v="304.64001500000001"/>
    <n v="68.027534000000003"/>
    <n v="442.63000499999998"/>
    <n v="49.591427000000003"/>
    <x v="1"/>
    <s v="May"/>
    <x v="0"/>
    <n v="-2.3043656953601412E-2"/>
    <n v="1.2357953455957024E-2"/>
    <s v="Normal"/>
  </r>
  <r>
    <d v="2014-05-14T00:00:00"/>
    <n v="297.61999500000002"/>
    <n v="67.591171000000003"/>
    <n v="448.10000600000001"/>
    <n v="50.268569999999997"/>
    <x v="1"/>
    <s v="May"/>
    <x v="0"/>
    <n v="-8.1647504899663229E-3"/>
    <n v="1.2340992916657035E-2"/>
    <s v="Normal"/>
  </r>
  <r>
    <d v="2014-05-15T00:00:00"/>
    <n v="295.19000199999999"/>
    <n v="67.553229999999999"/>
    <n v="453.63000499999998"/>
    <n v="49.169998"/>
    <x v="1"/>
    <s v="May"/>
    <x v="0"/>
    <n v="8.5030318879161185E-3"/>
    <n v="-1.8517205448082851E-3"/>
    <s v="Normal"/>
  </r>
  <r>
    <d v="2014-05-16T00:00:00"/>
    <n v="297.70001200000002"/>
    <n v="67.856796000000003"/>
    <n v="452.790009"/>
    <n v="49.982857000000003"/>
    <x v="1"/>
    <s v="May"/>
    <x v="0"/>
    <n v="-3.1575477397024513E-3"/>
    <n v="7.0187056622974156E-2"/>
    <s v="High Volatility"/>
  </r>
  <r>
    <d v="2014-05-19T00:00:00"/>
    <n v="296.76001000000002"/>
    <n v="68.321631999999994"/>
    <n v="484.57000699999998"/>
    <n v="52.071429999999999"/>
    <x v="1"/>
    <s v="May"/>
    <x v="0"/>
    <n v="1.4927860394666956E-2"/>
    <n v="8.8119135281107281E-3"/>
    <s v="Normal"/>
  </r>
  <r>
    <d v="2014-05-20T00:00:00"/>
    <n v="301.19000199999999"/>
    <n v="67.581688"/>
    <n v="488.83999599999999"/>
    <n v="53.095714999999998"/>
    <x v="1"/>
    <s v="May"/>
    <x v="0"/>
    <n v="1.2683050481868352E-2"/>
    <n v="5.4250857575082842E-2"/>
    <s v="High Volatility"/>
  </r>
  <r>
    <d v="2014-05-21T00:00:00"/>
    <n v="305.01001000000002"/>
    <n v="68.056022999999996"/>
    <n v="515.35998500000005"/>
    <n v="55.799999"/>
    <x v="1"/>
    <s v="May"/>
    <x v="0"/>
    <n v="-3.2787776374948343E-4"/>
    <n v="5.2973495798279953E-3"/>
    <s v="Normal"/>
  </r>
  <r>
    <d v="2014-05-22T00:00:00"/>
    <n v="304.91000400000001"/>
    <n v="69.403098999999997"/>
    <n v="518.09002699999996"/>
    <n v="55.971428000000003"/>
    <x v="1"/>
    <s v="May"/>
    <x v="0"/>
    <n v="2.403983438995318E-2"/>
    <n v="4.5744848896696047E-3"/>
    <s v="Normal"/>
  </r>
  <r>
    <d v="2014-05-23T00:00:00"/>
    <n v="312.23998999999998"/>
    <n v="69.156433000000007"/>
    <n v="520.46002199999998"/>
    <n v="57.478572999999997"/>
    <x v="1"/>
    <s v="May"/>
    <x v="0"/>
    <n v="-4.5477294564351036E-3"/>
    <n v="9.6798991027979439E-2"/>
    <s v="High Volatility"/>
  </r>
  <r>
    <d v="2014-05-27T00:00:00"/>
    <n v="310.82000699999998"/>
    <n v="69.573845000000006"/>
    <n v="570.84002699999996"/>
    <n v="56.972858000000002"/>
    <x v="1"/>
    <s v="May"/>
    <x v="0"/>
    <n v="-2.1234250856958532E-3"/>
    <n v="-1.1246660528940033E-2"/>
    <s v="Normal"/>
  </r>
  <r>
    <d v="2014-05-28T00:00:00"/>
    <n v="310.16000400000001"/>
    <n v="68.701087999999999"/>
    <n v="564.419983"/>
    <n v="57.32"/>
    <x v="1"/>
    <s v="May"/>
    <x v="0"/>
    <n v="1.1671379137588481E-2"/>
    <n v="8.4919022082178774E-2"/>
    <s v="High Volatility"/>
  </r>
  <r>
    <d v="2014-05-29T00:00:00"/>
    <n v="313.77999899999998"/>
    <n v="68.748527999999993"/>
    <n v="612.34997599999997"/>
    <n v="59.314284999999998"/>
    <x v="1"/>
    <s v="May"/>
    <x v="0"/>
    <n v="-3.919978978647363E-3"/>
    <n v="2.5410300661137069E-2"/>
    <s v="Normal"/>
  </r>
  <r>
    <d v="2014-05-30T00:00:00"/>
    <n v="312.54998799999998"/>
    <n v="68.729561000000004"/>
    <n v="627.90997300000004"/>
    <n v="59.689999"/>
    <x v="1"/>
    <s v="May"/>
    <x v="0"/>
    <n v="-1.1870075643707911E-2"/>
    <n v="6.612416076404623E-2"/>
    <s v="High Volatility"/>
  </r>
  <r>
    <d v="2014-06-02T00:00:00"/>
    <n v="308.83999599999999"/>
    <n v="69.241821000000002"/>
    <n v="669.42999299999997"/>
    <n v="60.294285000000002"/>
    <x v="1"/>
    <s v="Jun"/>
    <x v="0"/>
    <n v="-5.3425528473326116E-3"/>
    <n v="-4.5561149513657959E-2"/>
    <s v="Normal"/>
  </r>
  <r>
    <d v="2014-06-03T00:00:00"/>
    <n v="307.19000199999999"/>
    <n v="68.938254999999998"/>
    <n v="638.92999299999997"/>
    <n v="59.652858999999999"/>
    <x v="1"/>
    <s v="Jun"/>
    <x v="0"/>
    <n v="-1.334688620497543E-3"/>
    <n v="3.3258729802656171E-2"/>
    <s v="Normal"/>
  </r>
  <r>
    <d v="2014-06-04T00:00:00"/>
    <n v="306.77999899999998"/>
    <n v="69.469513000000006"/>
    <n v="660.17999299999997"/>
    <n v="60.458571999999997"/>
    <x v="1"/>
    <s v="Jun"/>
    <x v="0"/>
    <n v="5.4729800034975559E-2"/>
    <n v="-1.4799024665383841E-2"/>
    <s v="Normal"/>
  </r>
  <r>
    <d v="2014-06-05T00:00:00"/>
    <n v="323.57000699999998"/>
    <n v="69.545387000000005"/>
    <n v="650.40997300000004"/>
    <n v="61.192855999999999"/>
    <x v="1"/>
    <s v="Jun"/>
    <x v="0"/>
    <n v="1.8852198498113603E-2"/>
    <n v="1.9372550426743926E-3"/>
    <s v="Normal"/>
  </r>
  <r>
    <d v="2014-06-06T00:00:00"/>
    <n v="329.67001299999998"/>
    <n v="70.114593999999997"/>
    <n v="651.669983"/>
    <n v="61.447144000000002"/>
    <x v="1"/>
    <s v="Jun"/>
    <x v="0"/>
    <n v="-6.5823790894805568E-3"/>
    <n v="6.0613686421705495E-3"/>
    <s v="Normal"/>
  </r>
  <r>
    <d v="2014-06-09T00:00:00"/>
    <n v="327.5"/>
    <n v="69.649742000000003"/>
    <n v="655.61999500000002"/>
    <n v="60.441428999999999"/>
    <x v="1"/>
    <s v="Jun"/>
    <x v="0"/>
    <n v="1.4992378625954244E-2"/>
    <n v="-1.9325193094515067E-2"/>
    <s v="Normal"/>
  </r>
  <r>
    <d v="2014-06-10T00:00:00"/>
    <n v="332.41000400000001"/>
    <n v="69.308220000000006"/>
    <n v="642.95001200000002"/>
    <n v="61.184283999999998"/>
    <x v="1"/>
    <s v="Jun"/>
    <x v="0"/>
    <n v="8.3932732662281729E-3"/>
    <n v="-7.1265271241646749E-2"/>
    <s v="High Volatility"/>
  </r>
  <r>
    <d v="2014-06-11T00:00:00"/>
    <n v="335.20001200000002"/>
    <n v="69.831772000000001"/>
    <n v="597.13000499999998"/>
    <n v="61.428570000000001"/>
    <x v="1"/>
    <s v="Jun"/>
    <x v="0"/>
    <n v="-2.7714820010209307E-2"/>
    <n v="2.2139183911885296E-2"/>
    <s v="Normal"/>
  </r>
  <r>
    <d v="2014-06-12T00:00:00"/>
    <n v="325.91000400000001"/>
    <n v="68.879868000000002"/>
    <n v="610.34997599999997"/>
    <n v="60.349997999999999"/>
    <x v="1"/>
    <s v="Jun"/>
    <x v="0"/>
    <n v="1.104553390757513E-3"/>
    <n v="-4.4122215219027011E-2"/>
    <s v="Normal"/>
  </r>
  <r>
    <d v="2014-06-13T00:00:00"/>
    <n v="326.26998900000001"/>
    <n v="69.051215999999997"/>
    <n v="583.419983"/>
    <n v="61.101429000000003"/>
    <x v="1"/>
    <s v="Jun"/>
    <x v="0"/>
    <n v="4.137695912939169E-3"/>
    <n v="3.7143129531783559E-2"/>
    <s v="Normal"/>
  </r>
  <r>
    <d v="2014-06-16T00:00:00"/>
    <n v="327.61999500000002"/>
    <n v="68.708527000000004"/>
    <n v="605.09002699999996"/>
    <n v="61.465713999999998"/>
    <x v="1"/>
    <s v="Jun"/>
    <x v="0"/>
    <n v="-6.1046335099296974E-3"/>
    <n v="1.8509559735315506E-3"/>
    <s v="Normal"/>
  </r>
  <r>
    <d v="2014-06-17T00:00:00"/>
    <n v="325.61999500000002"/>
    <n v="67.585273999999998"/>
    <n v="606.21002199999998"/>
    <n v="63.378571000000001"/>
    <x v="1"/>
    <s v="Jun"/>
    <x v="0"/>
    <n v="2.6902555538703837E-2"/>
    <n v="-9.9636079589591128E-3"/>
    <s v="Normal"/>
  </r>
  <r>
    <d v="2014-06-18T00:00:00"/>
    <n v="334.38000499999998"/>
    <n v="68.527671999999995"/>
    <n v="600.169983"/>
    <n v="64.097144999999998"/>
    <x v="1"/>
    <s v="Jun"/>
    <x v="0"/>
    <n v="-2.2070712631277051E-2"/>
    <n v="-1.5695525045943529E-2"/>
    <s v="Normal"/>
  </r>
  <r>
    <d v="2014-06-19T00:00:00"/>
    <n v="327"/>
    <n v="68.384888000000004"/>
    <n v="590.75"/>
    <n v="63.055714000000002"/>
    <x v="1"/>
    <s v="Jun"/>
    <x v="0"/>
    <n v="-8.5626544342507181E-3"/>
    <n v="1.0647444773592923E-2"/>
    <s v="Normal"/>
  </r>
  <r>
    <d v="2014-06-20T00:00:00"/>
    <n v="324.20001200000002"/>
    <n v="68.346794000000003"/>
    <n v="597.03997800000002"/>
    <n v="62.882857999999999"/>
    <x v="1"/>
    <s v="Jun"/>
    <x v="0"/>
    <n v="9.3768596159088426E-3"/>
    <n v="-1.3851598393298839E-2"/>
    <s v="Normal"/>
  </r>
  <r>
    <d v="2014-06-23T00:00:00"/>
    <n v="327.23998999999998"/>
    <n v="68.137389999999996"/>
    <n v="588.77002000000005"/>
    <n v="62.78857"/>
    <x v="1"/>
    <s v="Jun"/>
    <x v="0"/>
    <n v="-9.4120098219045989E-3"/>
    <n v="-3.4512640436413576E-2"/>
    <s v="Normal"/>
  </r>
  <r>
    <d v="2014-06-24T00:00:00"/>
    <n v="324.16000400000001"/>
    <n v="68.651420999999999"/>
    <n v="568.45001200000002"/>
    <n v="62.337142999999998"/>
    <x v="1"/>
    <s v="Jun"/>
    <x v="0"/>
    <n v="1.0118453725093049E-2"/>
    <n v="2.5068167295596785E-2"/>
    <s v="Normal"/>
  </r>
  <r>
    <d v="2014-06-25T00:00:00"/>
    <n v="327.44000199999999"/>
    <n v="68.936988999999997"/>
    <n v="582.70001200000002"/>
    <n v="63.458571999999997"/>
    <x v="1"/>
    <s v="Jun"/>
    <x v="0"/>
    <n v="-5.3444905610524644E-3"/>
    <n v="3.3516333615589387E-2"/>
    <s v="Normal"/>
  </r>
  <r>
    <d v="2014-06-26T00:00:00"/>
    <n v="325.69000199999999"/>
    <n v="69.079750000000004"/>
    <n v="602.22997999999995"/>
    <n v="62.801430000000003"/>
    <x v="1"/>
    <s v="Jun"/>
    <x v="0"/>
    <n v="-3.4388375237874732E-3"/>
    <n v="-7.7544827642091231E-3"/>
    <s v="Normal"/>
  </r>
  <r>
    <d v="2014-06-27T00:00:00"/>
    <n v="324.57000699999998"/>
    <n v="69.470055000000002"/>
    <n v="597.55999799999995"/>
    <n v="63.154285000000002"/>
    <x v="1"/>
    <s v="Jun"/>
    <x v="0"/>
    <n v="6.4698522805898E-4"/>
    <n v="7.6360539782986112E-2"/>
    <s v="High Volatility"/>
  </r>
  <r>
    <d v="2014-06-30T00:00:00"/>
    <n v="324.77999899999998"/>
    <n v="69.574737999999996"/>
    <n v="643.19000200000005"/>
    <n v="62.942855999999999"/>
    <x v="1"/>
    <s v="Jun"/>
    <x v="0"/>
    <n v="2.3431295102627397E-2"/>
    <n v="3.9334706573998287E-3"/>
    <s v="Normal"/>
  </r>
  <r>
    <d v="2014-07-01T00:00:00"/>
    <n v="332.39001500000001"/>
    <n v="70.479065000000006"/>
    <n v="645.71997099999999"/>
    <n v="67.585716000000005"/>
    <x v="1"/>
    <s v="Jul"/>
    <x v="1"/>
    <n v="1.3838893445701197E-3"/>
    <n v="-1.1909097357002721E-2"/>
    <s v="Normal"/>
  </r>
  <r>
    <d v="2014-07-02T00:00:00"/>
    <n v="332.85000600000001"/>
    <n v="69.888885000000002"/>
    <n v="638.03002900000001"/>
    <n v="66.677138999999997"/>
    <x v="1"/>
    <s v="Jul"/>
    <x v="1"/>
    <n v="1.3940164988309989E-2"/>
    <n v="-2.2052264565121327E-2"/>
    <s v="Normal"/>
  </r>
  <r>
    <d v="2014-07-03T00:00:00"/>
    <n v="337.48998999999998"/>
    <n v="70.088783000000006"/>
    <n v="623.96002199999998"/>
    <n v="67.478568999999993"/>
    <x v="1"/>
    <s v="Jul"/>
    <x v="1"/>
    <n v="-1.1674426254834974E-2"/>
    <n v="-1.3847065028791138E-2"/>
    <s v="Normal"/>
  </r>
  <r>
    <d v="2014-07-07T00:00:00"/>
    <n v="333.54998799999998"/>
    <n v="70.012649999999994"/>
    <n v="615.32000700000003"/>
    <n v="65.802856000000006"/>
    <x v="1"/>
    <s v="Jul"/>
    <x v="1"/>
    <n v="-2.9200990407470734E-2"/>
    <n v="1.248129901942221E-2"/>
    <s v="Normal"/>
  </r>
  <r>
    <d v="2014-07-08T00:00:00"/>
    <n v="323.80999800000001"/>
    <n v="69.869857999999994"/>
    <n v="623"/>
    <n v="63.578570999999997"/>
    <x v="1"/>
    <s v="Jul"/>
    <x v="1"/>
    <n v="1.9023510818217595E-2"/>
    <n v="-7.3996548956662142E-3"/>
    <s v="Normal"/>
  </r>
  <r>
    <d v="2014-07-09T00:00:00"/>
    <n v="329.97000100000002"/>
    <n v="71.040694999999999"/>
    <n v="618.39001499999995"/>
    <n v="63.285713000000001"/>
    <x v="1"/>
    <s v="Jul"/>
    <x v="1"/>
    <n v="-6.2126496159874891E-3"/>
    <n v="2.3464170908387132E-2"/>
    <s v="Normal"/>
  </r>
  <r>
    <d v="2014-07-10T00:00:00"/>
    <n v="327.92001299999998"/>
    <n v="70.155434"/>
    <n v="632.90002400000003"/>
    <n v="62.650002000000001"/>
    <x v="1"/>
    <s v="Jul"/>
    <x v="1"/>
    <n v="5.5745298473137209E-2"/>
    <n v="4.7400851417885234E-3"/>
    <s v="Normal"/>
  </r>
  <r>
    <d v="2014-07-11T00:00:00"/>
    <n v="346.20001200000002"/>
    <n v="70.041190999999998"/>
    <n v="635.90002400000003"/>
    <n v="62.851429000000003"/>
    <x v="1"/>
    <s v="Jul"/>
    <x v="1"/>
    <n v="2.6343138890474561E-2"/>
    <n v="-2.5633035673544902E-2"/>
    <s v="Normal"/>
  </r>
  <r>
    <d v="2014-07-14T00:00:00"/>
    <n v="355.32000699999998"/>
    <n v="70.107826000000003"/>
    <n v="619.59997599999997"/>
    <n v="64.654289000000006"/>
    <x v="1"/>
    <s v="Jul"/>
    <x v="1"/>
    <n v="-2.4766547975441835E-3"/>
    <n v="-7.7469144382277784E-3"/>
    <s v="Normal"/>
  </r>
  <r>
    <d v="2014-07-15T00:00:00"/>
    <n v="354.44000199999999"/>
    <n v="69.727065999999994"/>
    <n v="614.79998799999998"/>
    <n v="64.155715999999998"/>
    <x v="1"/>
    <s v="Jul"/>
    <x v="1"/>
    <n v="4.1191513140776924E-3"/>
    <n v="1.9160750211335419E-2"/>
    <s v="Normal"/>
  </r>
  <r>
    <d v="2014-07-16T00:00:00"/>
    <n v="355.89999399999999"/>
    <n v="69.527161000000007"/>
    <n v="626.580017"/>
    <n v="63.491427999999999"/>
    <x v="1"/>
    <s v="Jul"/>
    <x v="1"/>
    <n v="-9.693683782416633E-3"/>
    <n v="1.4203357525843165E-3"/>
    <s v="Normal"/>
  </r>
  <r>
    <d v="2014-07-17T00:00:00"/>
    <n v="352.45001200000002"/>
    <n v="69.108322000000001"/>
    <n v="627.46997099999999"/>
    <n v="62.765712999999998"/>
    <x v="1"/>
    <s v="Jul"/>
    <x v="1"/>
    <n v="1.7619497201208777E-2"/>
    <n v="-6.8528060285448728E-4"/>
    <s v="Normal"/>
  </r>
  <r>
    <d v="2014-07-18T00:00:00"/>
    <n v="358.66000400000001"/>
    <n v="69.708031000000005"/>
    <n v="627.03997800000002"/>
    <n v="63.452857999999999"/>
    <x v="1"/>
    <s v="Jul"/>
    <x v="1"/>
    <n v="3.0669881997771003E-3"/>
    <n v="-7.1924425207861402E-3"/>
    <s v="Normal"/>
  </r>
  <r>
    <d v="2014-07-21T00:00:00"/>
    <n v="359.76001000000002"/>
    <n v="69.860328999999993"/>
    <n v="622.53002900000001"/>
    <n v="64.564284999999998"/>
    <x v="1"/>
    <s v="Jul"/>
    <x v="1"/>
    <n v="3.001962335947129E-3"/>
    <n v="-1.3493758708304233E-3"/>
    <s v="Normal"/>
  </r>
  <r>
    <d v="2014-07-22T00:00:00"/>
    <n v="360.83999599999999"/>
    <n v="72.449532000000005"/>
    <n v="621.69000200000005"/>
    <n v="61.584285999999999"/>
    <x v="1"/>
    <s v="Jul"/>
    <x v="1"/>
    <n v="-7.4824881663062091E-3"/>
    <n v="-3.1880852090653423E-2"/>
    <s v="Normal"/>
  </r>
  <r>
    <d v="2014-07-23T00:00:00"/>
    <n v="358.14001500000001"/>
    <n v="71.802231000000006"/>
    <n v="601.86999500000002"/>
    <n v="61.128571000000001"/>
    <x v="1"/>
    <s v="Jul"/>
    <x v="1"/>
    <n v="1.3122521369191022E-3"/>
    <n v="-2.2762307664132967E-3"/>
    <s v="Normal"/>
  </r>
  <r>
    <d v="2014-07-24T00:00:00"/>
    <n v="358.60998499999999"/>
    <n v="71.021666999999994"/>
    <n v="600.5"/>
    <n v="60.768569999999997"/>
    <x v="1"/>
    <s v="Jul"/>
    <x v="1"/>
    <n v="-9.6483579507692666E-2"/>
    <n v="-7.4937552039966698E-3"/>
    <s v="Normal"/>
  </r>
  <r>
    <d v="2014-07-25T00:00:00"/>
    <n v="324.01001000000002"/>
    <n v="70.659942999999998"/>
    <n v="596"/>
    <n v="60.265712999999998"/>
    <x v="1"/>
    <s v="Jul"/>
    <x v="1"/>
    <n v="-1.1110786361199172E-2"/>
    <n v="-1.7164395973154285E-2"/>
    <s v="Normal"/>
  </r>
  <r>
    <d v="2014-07-28T00:00:00"/>
    <n v="320.41000400000001"/>
    <n v="70.479065000000006"/>
    <n v="585.77002000000005"/>
    <n v="60.665714000000001"/>
    <x v="1"/>
    <s v="Jul"/>
    <x v="1"/>
    <n v="-1.2796229670781905E-3"/>
    <n v="-3.6072185804251464E-2"/>
    <s v="Normal"/>
  </r>
  <r>
    <d v="2014-07-29T00:00:00"/>
    <n v="320"/>
    <n v="70.317245"/>
    <n v="564.64001499999995"/>
    <n v="60.611426999999999"/>
    <x v="1"/>
    <s v="Jul"/>
    <x v="1"/>
    <n v="7.8437812500000703E-3"/>
    <n v="4.4063481756602213E-2"/>
    <s v="Normal"/>
  </r>
  <r>
    <d v="2014-07-30T00:00:00"/>
    <n v="322.51001000000002"/>
    <n v="70.012649999999994"/>
    <n v="589.52002000000005"/>
    <n v="62.051430000000003"/>
    <x v="1"/>
    <s v="Jul"/>
    <x v="1"/>
    <n v="-2.9518525642041448E-2"/>
    <n v="1.5707709129199662E-2"/>
    <s v="Normal"/>
  </r>
  <r>
    <d v="2014-07-31T00:00:00"/>
    <n v="312.98998999999998"/>
    <n v="68.537186000000005"/>
    <n v="598.78002900000001"/>
    <n v="60.388573000000001"/>
    <x v="1"/>
    <s v="Jul"/>
    <x v="1"/>
    <n v="-1.8946267259218004E-2"/>
    <n v="-1.1790737262548258E-2"/>
    <s v="Normal"/>
  </r>
  <r>
    <d v="2014-08-01T00:00:00"/>
    <n v="307.05999800000001"/>
    <n v="66.795203999999998"/>
    <n v="591.71997099999999"/>
    <n v="60.771427000000003"/>
    <x v="1"/>
    <s v="Aug"/>
    <x v="1"/>
    <n v="2.1461590708406066E-2"/>
    <n v="-5.0023003195206021E-3"/>
    <s v="Normal"/>
  </r>
  <r>
    <d v="2014-08-04T00:00:00"/>
    <n v="313.64999399999999"/>
    <n v="67.870864999999995"/>
    <n v="588.76000999999997"/>
    <n v="60.385714999999998"/>
    <x v="1"/>
    <s v="Aug"/>
    <x v="1"/>
    <n v="-4.240353978772966E-3"/>
    <n v="1.7154867566499285E-3"/>
    <s v="Normal"/>
  </r>
  <r>
    <d v="2014-08-05T00:00:00"/>
    <n v="312.32000699999998"/>
    <n v="67.870864999999995"/>
    <n v="589.77002000000005"/>
    <n v="60.407142999999998"/>
    <x v="1"/>
    <s v="Aug"/>
    <x v="1"/>
    <n v="5.026920993889546E-3"/>
    <n v="5.1375415793429779E-3"/>
    <s v="Normal"/>
  </r>
  <r>
    <d v="2014-08-06T00:00:00"/>
    <n v="313.89001500000001"/>
    <n v="67.899399000000003"/>
    <n v="592.79998799999998"/>
    <n v="61.471428000000003"/>
    <x v="1"/>
    <s v="Aug"/>
    <x v="1"/>
    <n v="-7.7734329969049512E-3"/>
    <n v="5.1450540852574795E-3"/>
    <s v="Normal"/>
  </r>
  <r>
    <d v="2014-08-07T00:00:00"/>
    <n v="311.45001200000002"/>
    <n v="67.908919999999995"/>
    <n v="595.84997599999997"/>
    <n v="64.238570999999993"/>
    <x v="1"/>
    <s v="Aug"/>
    <x v="1"/>
    <n v="1.7177639408792088E-2"/>
    <n v="-1.0623405647330135E-2"/>
    <s v="Normal"/>
  </r>
  <r>
    <d v="2014-08-08T00:00:00"/>
    <n v="316.79998799999998"/>
    <n v="68.594299000000007"/>
    <n v="589.52002000000005"/>
    <n v="63.692855999999999"/>
    <x v="1"/>
    <s v="Aug"/>
    <x v="1"/>
    <n v="4.8295424809171143E-3"/>
    <n v="-3.7081093530971193E-2"/>
    <s v="Normal"/>
  </r>
  <r>
    <d v="2014-08-11T00:00:00"/>
    <n v="318.32998700000002"/>
    <n v="69.251129000000006"/>
    <n v="567.65997300000004"/>
    <n v="64.505713999999998"/>
    <x v="1"/>
    <s v="Aug"/>
    <x v="1"/>
    <n v="3.1100431641080629E-3"/>
    <n v="-4.5026949610202767E-2"/>
    <s v="Normal"/>
  </r>
  <r>
    <d v="2014-08-12T00:00:00"/>
    <n v="319.32000699999998"/>
    <n v="70.155434"/>
    <n v="542.09997599999997"/>
    <n v="63.772857999999999"/>
    <x v="1"/>
    <s v="Aug"/>
    <x v="1"/>
    <n v="2.1796291642947385E-2"/>
    <n v="-6.8806474177006763E-2"/>
    <s v="High Volatility"/>
  </r>
  <r>
    <d v="2014-08-13T00:00:00"/>
    <n v="326.27999899999998"/>
    <n v="70.907425000000003"/>
    <n v="504.79998799999998"/>
    <n v="64.504288000000003"/>
    <x v="1"/>
    <s v="Aug"/>
    <x v="1"/>
    <n v="2.1239401805931805E-2"/>
    <n v="-1.6541157287032204E-2"/>
    <s v="Normal"/>
  </r>
  <r>
    <d v="2014-08-14T00:00:00"/>
    <n v="333.209991"/>
    <n v="71.154906999999994"/>
    <n v="496.45001200000002"/>
    <n v="64.410004000000001"/>
    <x v="1"/>
    <s v="Aug"/>
    <x v="1"/>
    <n v="1.2605084221498646E-3"/>
    <n v="5.1485542113351684E-2"/>
    <s v="High Volatility"/>
  </r>
  <r>
    <d v="2014-08-15T00:00:00"/>
    <n v="333.63000499999998"/>
    <n v="70.964545999999999"/>
    <n v="522.01000999999997"/>
    <n v="65.584282000000002"/>
    <x v="1"/>
    <s v="Aug"/>
    <x v="1"/>
    <n v="2.6975811123462726E-3"/>
    <n v="-7.0669171650558874E-2"/>
    <s v="High Volatility"/>
  </r>
  <r>
    <d v="2014-08-18T00:00:00"/>
    <n v="334.52999899999998"/>
    <n v="71.430976999999999"/>
    <n v="485.11999500000002"/>
    <n v="66.571426000000002"/>
    <x v="1"/>
    <s v="Aug"/>
    <x v="1"/>
    <n v="1.7935790565676822E-3"/>
    <n v="6.5262273924619404E-2"/>
    <s v="High Volatility"/>
  </r>
  <r>
    <d v="2014-08-19T00:00:00"/>
    <n v="335.13000499999998"/>
    <n v="71.535697999999996"/>
    <n v="516.78002900000001"/>
    <n v="66.878570999999994"/>
    <x v="1"/>
    <s v="Aug"/>
    <x v="1"/>
    <n v="1.9395279154428217E-3"/>
    <n v="2.2446165387711536E-3"/>
    <s v="Normal"/>
  </r>
  <r>
    <d v="2014-08-20T00:00:00"/>
    <n v="335.77999899999998"/>
    <n v="71.069252000000006"/>
    <n v="517.94000200000005"/>
    <n v="67.455710999999994"/>
    <x v="1"/>
    <s v="Aug"/>
    <x v="1"/>
    <n v="-8.5472482236798163E-3"/>
    <n v="-3.552585227815788E-3"/>
    <s v="Normal"/>
  </r>
  <r>
    <d v="2014-08-21T00:00:00"/>
    <n v="332.91000400000001"/>
    <n v="71.154906999999994"/>
    <n v="516.09997599999997"/>
    <n v="67.435715000000002"/>
    <x v="1"/>
    <s v="Aug"/>
    <x v="1"/>
    <n v="-3.9650595780835402E-3"/>
    <n v="-3.569072632547448E-2"/>
    <s v="Normal"/>
  </r>
  <r>
    <d v="2014-08-22T00:00:00"/>
    <n v="331.58999599999999"/>
    <n v="70.469550999999996"/>
    <n v="497.67999300000002"/>
    <n v="68.455710999999994"/>
    <x v="1"/>
    <s v="Aug"/>
    <x v="1"/>
    <n v="7.3283061289943878E-3"/>
    <n v="2.9898740574849519E-2"/>
    <s v="Normal"/>
  </r>
  <r>
    <d v="2014-08-25T00:00:00"/>
    <n v="334.01998900000001"/>
    <n v="71.421463000000003"/>
    <n v="512.55999799999995"/>
    <n v="68.704284999999999"/>
    <x v="1"/>
    <s v="Aug"/>
    <x v="1"/>
    <n v="2.3381828205497029E-2"/>
    <n v="5.2091111487791225E-3"/>
    <s v="Normal"/>
  </r>
  <r>
    <d v="2014-08-26T00:00:00"/>
    <n v="341.82998700000002"/>
    <n v="71.630889999999994"/>
    <n v="515.22997999999995"/>
    <n v="68.480002999999996"/>
    <x v="1"/>
    <s v="Aug"/>
    <x v="1"/>
    <n v="3.9493492418498895E-3"/>
    <n v="-8.6951073770978066E-3"/>
    <s v="Normal"/>
  </r>
  <r>
    <d v="2014-08-27T00:00:00"/>
    <n v="343.17999300000002"/>
    <n v="71.545203999999998"/>
    <n v="510.75"/>
    <n v="67.814284999999998"/>
    <x v="1"/>
    <s v="Aug"/>
    <x v="1"/>
    <n v="-9.2080076474621714E-3"/>
    <n v="3.5438042094957426E-3"/>
    <s v="Normal"/>
  </r>
  <r>
    <d v="2014-08-28T00:00:00"/>
    <n v="340.01998900000001"/>
    <n v="71.640395999999996"/>
    <n v="512.55999799999995"/>
    <n v="67.887146000000001"/>
    <x v="1"/>
    <s v="Aug"/>
    <x v="1"/>
    <n v="-2.8821246741467656E-3"/>
    <n v="-1.2876554990153463E-2"/>
    <s v="Normal"/>
  </r>
  <r>
    <d v="2014-08-29T00:00:00"/>
    <n v="339.040009"/>
    <n v="71.821251000000004"/>
    <n v="505.959991"/>
    <n v="68.234283000000005"/>
    <x v="1"/>
    <s v="Aug"/>
    <x v="1"/>
    <n v="9.8513329145174279E-3"/>
    <n v="-5.1229311528705447E-2"/>
    <s v="High Volatility"/>
  </r>
  <r>
    <d v="2014-09-02T00:00:00"/>
    <n v="342.38000499999998"/>
    <n v="72.344802999999999"/>
    <n v="480.040009"/>
    <n v="68.085716000000005"/>
    <x v="1"/>
    <s v="Sep"/>
    <x v="1"/>
    <n v="-9.8720864263086364E-3"/>
    <n v="2.2810559109042887E-2"/>
    <s v="Normal"/>
  </r>
  <r>
    <d v="2014-09-03T00:00:00"/>
    <n v="339"/>
    <n v="71.973549000000006"/>
    <n v="490.98998999999998"/>
    <n v="68.198570000000004"/>
    <x v="1"/>
    <s v="Sep"/>
    <x v="1"/>
    <n v="2.0501510324483819E-2"/>
    <n v="-1.4949380128910542E-2"/>
    <s v="Normal"/>
  </r>
  <r>
    <d v="2014-09-04T00:00:00"/>
    <n v="345.95001200000002"/>
    <n v="71.754631000000003"/>
    <n v="483.64999399999999"/>
    <n v="67.524283999999994"/>
    <x v="1"/>
    <s v="Sep"/>
    <x v="1"/>
    <n v="1.2429339068789154E-3"/>
    <n v="1.6954554123286775E-3"/>
    <s v="Normal"/>
  </r>
  <r>
    <d v="2014-09-05T00:00:00"/>
    <n v="346.38000499999998"/>
    <n v="72.75412"/>
    <n v="484.47000100000002"/>
    <n v="67.954284999999999"/>
    <x v="1"/>
    <s v="Sep"/>
    <x v="1"/>
    <n v="-1.1663516778342901E-2"/>
    <n v="-1.9753559519157991E-2"/>
    <s v="Normal"/>
  </r>
  <r>
    <d v="2014-09-08T00:00:00"/>
    <n v="342.33999599999999"/>
    <n v="72.401923999999994"/>
    <n v="474.89999399999999"/>
    <n v="68.475716000000006"/>
    <x v="1"/>
    <s v="Sep"/>
    <x v="1"/>
    <n v="-3.6776293004338254E-2"/>
    <n v="1.0107429060106542E-2"/>
    <s v="Normal"/>
  </r>
  <r>
    <d v="2014-09-09T00:00:00"/>
    <n v="329.75"/>
    <n v="71.906936999999999"/>
    <n v="479.70001200000002"/>
    <n v="68.430000000000007"/>
    <x v="1"/>
    <s v="Sep"/>
    <x v="1"/>
    <n v="4.7914692949204453E-3"/>
    <n v="-2.5224556383793414E-3"/>
    <s v="Normal"/>
  </r>
  <r>
    <d v="2014-09-10T00:00:00"/>
    <n v="331.32998700000002"/>
    <n v="72.554221999999996"/>
    <n v="478.48998999999998"/>
    <n v="69.198570000000004"/>
    <x v="1"/>
    <s v="Sep"/>
    <x v="1"/>
    <n v="-2.4446866621825186E-3"/>
    <n v="-1.5882860997781523E-3"/>
    <s v="Normal"/>
  </r>
  <r>
    <d v="2014-09-11T00:00:00"/>
    <n v="330.51998900000001"/>
    <n v="72.812072999999998"/>
    <n v="477.73001099999999"/>
    <n v="68.794289000000006"/>
    <x v="1"/>
    <s v="Sep"/>
    <x v="1"/>
    <n v="2.027148197684295E-3"/>
    <n v="9.210265000496121E-4"/>
    <s v="Normal"/>
  </r>
  <r>
    <d v="2014-09-12T00:00:00"/>
    <n v="331.19000199999999"/>
    <n v="72.611525999999998"/>
    <n v="478.17001299999998"/>
    <n v="68.078575000000001"/>
    <x v="1"/>
    <s v="Sep"/>
    <x v="1"/>
    <n v="-2.2041688927554003E-2"/>
    <n v="-2.3882746072577295E-2"/>
    <s v="Normal"/>
  </r>
  <r>
    <d v="2014-09-15T00:00:00"/>
    <n v="323.89001500000001"/>
    <n v="72.783432000000005"/>
    <n v="466.75"/>
    <n v="65.392859999999999"/>
    <x v="1"/>
    <s v="Sep"/>
    <x v="1"/>
    <n v="1.1948485043603511E-2"/>
    <n v="-1.2126414568827027E-2"/>
    <s v="Normal"/>
  </r>
  <r>
    <d v="2014-09-16T00:00:00"/>
    <n v="327.76001000000002"/>
    <n v="73.136818000000005"/>
    <n v="461.08999599999999"/>
    <n v="65.272857999999999"/>
    <x v="1"/>
    <s v="Sep"/>
    <x v="1"/>
    <n v="-1.1471838800590781E-2"/>
    <n v="-7.9875916457749316E-2"/>
    <s v="High Volatility"/>
  </r>
  <r>
    <d v="2014-09-17T00:00:00"/>
    <n v="324"/>
    <n v="73.127266000000006"/>
    <n v="424.26001000000002"/>
    <n v="64.932854000000006"/>
    <x v="1"/>
    <s v="Sep"/>
    <x v="1"/>
    <n v="3.0864197530864196E-3"/>
    <n v="-6.2673823535713477E-2"/>
    <s v="High Volatility"/>
  </r>
  <r>
    <d v="2014-09-18T00:00:00"/>
    <n v="325"/>
    <n v="73.289589000000007"/>
    <n v="397.67001299999998"/>
    <n v="65.572861000000003"/>
    <x v="1"/>
    <s v="Sep"/>
    <x v="1"/>
    <n v="1.9446175384615308E-2"/>
    <n v="3.4852982490283957E-2"/>
    <s v="Normal"/>
  </r>
  <r>
    <d v="2014-09-19T00:00:00"/>
    <n v="331.32000699999998"/>
    <n v="73.537918000000005"/>
    <n v="411.52999899999998"/>
    <n v="65.360000999999997"/>
    <x v="1"/>
    <s v="Sep"/>
    <x v="1"/>
    <n v="-2.0584350041982148E-2"/>
    <n v="6.155076437088617E-2"/>
    <s v="High Volatility"/>
  </r>
  <r>
    <d v="2014-09-22T00:00:00"/>
    <n v="324.5"/>
    <n v="72.449180999999996"/>
    <n v="436.85998499999999"/>
    <n v="63.254283999999998"/>
    <x v="1"/>
    <s v="Sep"/>
    <x v="1"/>
    <n v="-2.6810323574730883E-3"/>
    <n v="-2.9963824679433582E-2"/>
    <s v="Normal"/>
  </r>
  <r>
    <d v="2014-09-23T00:00:00"/>
    <n v="323.63000499999998"/>
    <n v="72.420524999999998"/>
    <n v="423.76998900000001"/>
    <n v="63.414287999999999"/>
    <x v="1"/>
    <s v="Sep"/>
    <x v="1"/>
    <n v="1.4151920184285816E-2"/>
    <n v="-2.7090120343562157E-2"/>
    <s v="Normal"/>
  </r>
  <r>
    <d v="2014-09-24T00:00:00"/>
    <n v="328.209991"/>
    <n v="72.926704000000001"/>
    <n v="412.290009"/>
    <n v="64.365714999999994"/>
    <x v="1"/>
    <s v="Sep"/>
    <x v="1"/>
    <n v="-1.9134085409362137E-2"/>
    <n v="-1.8991529819001738E-2"/>
    <s v="Normal"/>
  </r>
  <r>
    <d v="2014-09-25T00:00:00"/>
    <n v="321.92999300000002"/>
    <n v="72.869392000000005"/>
    <n v="404.459991"/>
    <n v="63.355713000000002"/>
    <x v="1"/>
    <s v="Sep"/>
    <x v="1"/>
    <n v="3.9760135055200577E-3"/>
    <n v="-1.3450037385774438E-2"/>
    <s v="Normal"/>
  </r>
  <r>
    <d v="2014-09-26T00:00:00"/>
    <n v="323.209991"/>
    <n v="73.795760999999999"/>
    <n v="399.01998900000001"/>
    <n v="64.107140000000001"/>
    <x v="1"/>
    <s v="Sep"/>
    <x v="1"/>
    <n v="-4.3005601271775872E-3"/>
    <n v="-2.7191560069939318E-2"/>
    <s v="Normal"/>
  </r>
  <r>
    <d v="2014-09-29T00:00:00"/>
    <n v="321.82000699999998"/>
    <n v="74.139595"/>
    <n v="388.17001299999998"/>
    <n v="64.222854999999996"/>
    <x v="1"/>
    <s v="Sep"/>
    <x v="1"/>
    <n v="1.9265272093540698E-3"/>
    <n v="-1.3731140535062398E-2"/>
    <s v="Normal"/>
  </r>
  <r>
    <d v="2014-09-30T00:00:00"/>
    <n v="322.44000199999999"/>
    <n v="73.499709999999993"/>
    <n v="382.83999599999999"/>
    <n v="64.454284999999999"/>
    <x v="1"/>
    <s v="Sep"/>
    <x v="1"/>
    <n v="-1.5444767923056862E-2"/>
    <n v="-2.0112791454527077E-2"/>
    <s v="Normal"/>
  </r>
  <r>
    <d v="2014-10-01T00:00:00"/>
    <n v="317.459991"/>
    <n v="73.633414999999999"/>
    <n v="375.14001500000001"/>
    <n v="62.685715000000002"/>
    <x v="1"/>
    <s v="Oct"/>
    <x v="2"/>
    <n v="2.9925440273826905E-3"/>
    <n v="-3.1161706383148677E-2"/>
    <s v="Normal"/>
  </r>
  <r>
    <d v="2014-10-02T00:00:00"/>
    <n v="318.41000400000001"/>
    <n v="74.091835000000003"/>
    <n v="363.45001200000002"/>
    <n v="64.282859999999999"/>
    <x v="1"/>
    <s v="Oct"/>
    <x v="2"/>
    <n v="1.3598774993262971E-2"/>
    <n v="-7.7397177249233493E-2"/>
    <s v="High Volatility"/>
  </r>
  <r>
    <d v="2014-10-03T00:00:00"/>
    <n v="322.73998999999998"/>
    <n v="74.206435999999997"/>
    <n v="335.32000699999998"/>
    <n v="65.648574999999994"/>
    <x v="1"/>
    <s v="Oct"/>
    <x v="2"/>
    <n v="-1.6731053378292611E-3"/>
    <n v="-1.0944807716170612E-2"/>
    <s v="Normal"/>
  </r>
  <r>
    <d v="2014-10-06T00:00:00"/>
    <n v="322.20001200000002"/>
    <n v="74.349693000000002"/>
    <n v="331.64999399999999"/>
    <n v="66.211426000000003"/>
    <x v="1"/>
    <s v="Oct"/>
    <x v="2"/>
    <n v="-1.620111981870449E-2"/>
    <n v="5.795266500140514E-2"/>
    <s v="High Volatility"/>
  </r>
  <r>
    <d v="2014-10-07T00:00:00"/>
    <n v="316.98001099999999"/>
    <n v="73.356444999999994"/>
    <n v="350.86999500000002"/>
    <n v="65.178573999999998"/>
    <x v="1"/>
    <s v="Oct"/>
    <x v="2"/>
    <n v="1.8045305071303138E-2"/>
    <n v="2.8614612657317698E-2"/>
    <s v="Normal"/>
  </r>
  <r>
    <d v="2014-10-08T00:00:00"/>
    <n v="322.70001200000002"/>
    <n v="74.416550000000001"/>
    <n v="360.91000400000001"/>
    <n v="66.694282999999999"/>
    <x v="1"/>
    <s v="Oct"/>
    <x v="2"/>
    <n v="-2.2714647435463985E-2"/>
    <n v="2.2165830570880693E-3"/>
    <s v="Normal"/>
  </r>
  <r>
    <d v="2014-10-09T00:00:00"/>
    <n v="315.36999500000002"/>
    <n v="73.251403999999994"/>
    <n v="361.709991"/>
    <n v="65.945717000000002"/>
    <x v="1"/>
    <s v="Oct"/>
    <x v="2"/>
    <n v="-1.2620033811396711E-2"/>
    <n v="-1.3546487854685151E-3"/>
    <s v="Normal"/>
  </r>
  <r>
    <d v="2014-10-10T00:00:00"/>
    <n v="311.39001500000001"/>
    <n v="72.974449000000007"/>
    <n v="361.22000100000002"/>
    <n v="64.582854999999995"/>
    <x v="1"/>
    <s v="Oct"/>
    <x v="2"/>
    <n v="-1.5864359041827304E-2"/>
    <n v="9.933006173708521E-2"/>
    <s v="High Volatility"/>
  </r>
  <r>
    <d v="2014-10-13T00:00:00"/>
    <n v="306.45001200000002"/>
    <n v="72.315483"/>
    <n v="397.10000600000001"/>
    <n v="62.654285000000002"/>
    <x v="1"/>
    <s v="Oct"/>
    <x v="2"/>
    <n v="6.0694597068574824E-3"/>
    <n v="-9.8967336706613507E-3"/>
    <s v="Normal"/>
  </r>
  <r>
    <d v="2014-10-14T00:00:00"/>
    <n v="308.30999800000001"/>
    <n v="80.509697000000003"/>
    <n v="393.17001299999998"/>
    <n v="64.160004000000001"/>
    <x v="1"/>
    <s v="Oct"/>
    <x v="2"/>
    <n v="-7.589753868442445E-3"/>
    <n v="-3.4082009199414641E-2"/>
    <s v="Normal"/>
  </r>
  <r>
    <d v="2014-10-15T00:00:00"/>
    <n v="305.97000100000002"/>
    <n v="79.888930999999999"/>
    <n v="379.76998900000001"/>
    <n v="64.084282000000002"/>
    <x v="1"/>
    <s v="Oct"/>
    <x v="2"/>
    <n v="-1.0164447461632128E-2"/>
    <n v="1.8696106079092543E-3"/>
    <s v="Normal"/>
  </r>
  <r>
    <d v="2014-10-16T00:00:00"/>
    <n v="302.85998499999999"/>
    <n v="80.156341999999995"/>
    <n v="380.48001099999999"/>
    <n v="51.671429000000003"/>
    <x v="1"/>
    <s v="Oct"/>
    <x v="2"/>
    <n v="2.5755465846701757E-3"/>
    <n v="2.7333877468795575E-2"/>
    <s v="Normal"/>
  </r>
  <r>
    <d v="2014-10-17T00:00:00"/>
    <n v="303.64001500000001"/>
    <n v="81.025390999999999"/>
    <n v="390.88000499999998"/>
    <n v="51.012855999999999"/>
    <x v="1"/>
    <s v="Oct"/>
    <x v="2"/>
    <n v="8.4638910322804347E-3"/>
    <n v="-2.1822551399117936E-2"/>
    <s v="Normal"/>
  </r>
  <r>
    <d v="2014-10-20T00:00:00"/>
    <n v="306.209991"/>
    <n v="82.133255000000005"/>
    <n v="382.35000600000001"/>
    <n v="51.317141999999997"/>
    <x v="1"/>
    <s v="Oct"/>
    <x v="2"/>
    <n v="2.9783469736622718E-2"/>
    <n v="-8.9447180497755317E-3"/>
    <s v="Normal"/>
  </r>
  <r>
    <d v="2014-10-21T00:00:00"/>
    <n v="315.32998700000002"/>
    <n v="82.123711"/>
    <n v="378.92999300000002"/>
    <n v="52.284286000000002"/>
    <x v="1"/>
    <s v="Oct"/>
    <x v="2"/>
    <n v="-7.4841787882355508E-3"/>
    <n v="-6.1093063171697916E-2"/>
    <s v="High Volatility"/>
  </r>
  <r>
    <d v="2014-10-22T00:00:00"/>
    <n v="312.97000100000002"/>
    <n v="82.563011000000003"/>
    <n v="355.77999899999998"/>
    <n v="53.521427000000003"/>
    <x v="1"/>
    <s v="Oct"/>
    <x v="2"/>
    <n v="6.7096526609270683E-4"/>
    <n v="-1.9112738262725322E-3"/>
    <s v="Normal"/>
  </r>
  <r>
    <d v="2014-10-23T00:00:00"/>
    <n v="313.17999300000002"/>
    <n v="83.374802000000003"/>
    <n v="355.10000600000001"/>
    <n v="54.720001000000003"/>
    <x v="1"/>
    <s v="Oct"/>
    <x v="2"/>
    <n v="-8.3402502023812275E-2"/>
    <n v="-2.3598999882866751E-2"/>
    <s v="Normal"/>
  </r>
  <r>
    <d v="2014-10-24T00:00:00"/>
    <n v="287.05999800000001"/>
    <n v="83.737724"/>
    <n v="346.72000100000002"/>
    <n v="55.002856999999999"/>
    <x v="1"/>
    <s v="Oct"/>
    <x v="2"/>
    <n v="1.0137264057251256E-2"/>
    <n v="9.7196440651831917E-3"/>
    <s v="Normal"/>
  </r>
  <r>
    <d v="2014-10-27T00:00:00"/>
    <n v="289.97000100000002"/>
    <n v="84.291634000000002"/>
    <n v="350.08999599999999"/>
    <n v="54.200001"/>
    <x v="1"/>
    <s v="Oct"/>
    <x v="2"/>
    <n v="1.9381297998477987E-2"/>
    <n v="2.7707218460479009E-3"/>
    <s v="Normal"/>
  </r>
  <r>
    <d v="2014-10-28T00:00:00"/>
    <n v="295.58999599999999"/>
    <n v="84.998367000000002"/>
    <n v="351.05999800000001"/>
    <n v="55.174286000000002"/>
    <x v="1"/>
    <s v="Oct"/>
    <x v="2"/>
    <n v="-4.9731080885429156E-3"/>
    <n v="-4.5405352620095409E-2"/>
    <s v="Normal"/>
  </r>
  <r>
    <d v="2014-10-29T00:00:00"/>
    <n v="294.11999500000002"/>
    <n v="84.979270999999997"/>
    <n v="335.11999500000002"/>
    <n v="54.014285999999998"/>
    <x v="1"/>
    <s v="Oct"/>
    <x v="2"/>
    <n v="1.6829906446856693E-2"/>
    <n v="2.9064186396875476E-2"/>
    <s v="Normal"/>
  </r>
  <r>
    <d v="2014-10-30T00:00:00"/>
    <n v="299.07000699999998"/>
    <n v="84.883765999999994"/>
    <n v="344.85998499999999"/>
    <n v="54.144286999999998"/>
    <x v="1"/>
    <s v="Oct"/>
    <x v="2"/>
    <n v="2.136618133024629E-2"/>
    <n v="-2.0269066589444922E-2"/>
    <s v="Normal"/>
  </r>
  <r>
    <d v="2014-10-31T00:00:00"/>
    <n v="305.459991"/>
    <n v="84.797805999999994"/>
    <n v="337.86999500000002"/>
    <n v="56.110000999999997"/>
    <x v="1"/>
    <s v="Oct"/>
    <x v="2"/>
    <n v="8.5120803922246729E-4"/>
    <n v="-4.0340974936232614E-2"/>
    <s v="Normal"/>
  </r>
  <r>
    <d v="2014-11-03T00:00:00"/>
    <n v="305.72000100000002"/>
    <n v="85.523643000000007"/>
    <n v="324.23998999999998"/>
    <n v="55.487144000000001"/>
    <x v="1"/>
    <s v="Nov"/>
    <x v="2"/>
    <n v="-9.518523454407608E-3"/>
    <n v="1.1472986413551349E-2"/>
    <s v="Normal"/>
  </r>
  <r>
    <d v="2014-11-04T00:00:00"/>
    <n v="302.80999800000001"/>
    <n v="86.192177000000001"/>
    <n v="327.959991"/>
    <n v="54.682858000000003"/>
    <x v="1"/>
    <s v="Nov"/>
    <x v="2"/>
    <n v="-2.0772131176461345E-2"/>
    <n v="3.0644039748128973E-2"/>
    <s v="Normal"/>
  </r>
  <r>
    <d v="2014-11-05T00:00:00"/>
    <n v="296.51998900000001"/>
    <n v="86.430923000000007"/>
    <n v="338.01001000000002"/>
    <n v="54.34"/>
    <x v="1"/>
    <s v="Nov"/>
    <x v="2"/>
    <n v="4.0478215450087495E-4"/>
    <n v="2.8579044153159726E-2"/>
    <s v="Normal"/>
  </r>
  <r>
    <d v="2014-11-06T00:00:00"/>
    <n v="296.64001500000001"/>
    <n v="86.765181999999996"/>
    <n v="347.67001299999998"/>
    <n v="54.757140999999997"/>
    <x v="1"/>
    <s v="Nov"/>
    <x v="2"/>
    <n v="1.0854806624790622E-2"/>
    <n v="-1.6682537415155119E-2"/>
    <s v="Normal"/>
  </r>
  <r>
    <d v="2014-11-07T00:00:00"/>
    <n v="299.85998499999999"/>
    <n v="86.717444999999998"/>
    <n v="341.86999500000002"/>
    <n v="54.880001"/>
    <x v="1"/>
    <s v="Nov"/>
    <x v="2"/>
    <n v="1.750817135537441E-2"/>
    <n v="7.3946235030073276E-2"/>
    <s v="High Volatility"/>
  </r>
  <r>
    <d v="2014-11-10T00:00:00"/>
    <n v="305.10998499999999"/>
    <n v="87.939896000000005"/>
    <n v="367.14999399999999"/>
    <n v="55.324286999999998"/>
    <x v="1"/>
    <s v="Nov"/>
    <x v="2"/>
    <n v="2.2614877713687503E-2"/>
    <n v="-4.7119189112665742E-3"/>
    <s v="Normal"/>
  </r>
  <r>
    <d v="2014-11-11T00:00:00"/>
    <n v="312.01001000000002"/>
    <n v="87.452843000000001"/>
    <n v="365.42001299999998"/>
    <n v="54.650002000000001"/>
    <x v="1"/>
    <s v="Nov"/>
    <x v="2"/>
    <n v="-1.6025126886153426E-3"/>
    <n v="0.18228335512647467"/>
    <s v="High Volatility"/>
  </r>
  <r>
    <d v="2014-11-12T00:00:00"/>
    <n v="311.51001000000002"/>
    <n v="87.529212999999999"/>
    <n v="432.02999899999998"/>
    <n v="54.837142999999998"/>
    <x v="1"/>
    <s v="Nov"/>
    <x v="2"/>
    <n v="1.5954546693379028E-2"/>
    <n v="-7.6615003765049903E-3"/>
    <s v="Normal"/>
  </r>
  <r>
    <d v="2014-11-13T00:00:00"/>
    <n v="316.48001099999999"/>
    <n v="87.739333999999999"/>
    <n v="428.72000100000002"/>
    <n v="54.201427000000002"/>
    <x v="1"/>
    <s v="Nov"/>
    <x v="2"/>
    <n v="3.5831634244982334E-2"/>
    <n v="-7.508397538000576E-2"/>
    <s v="High Volatility"/>
  </r>
  <r>
    <d v="2014-11-14T00:00:00"/>
    <n v="327.82000699999998"/>
    <n v="87.347740000000002"/>
    <n v="396.52999899999998"/>
    <n v="55.148570999999997"/>
    <x v="1"/>
    <s v="Nov"/>
    <x v="2"/>
    <n v="-1.4550725697470903E-2"/>
    <n v="-2.9859019569412157E-2"/>
    <s v="Normal"/>
  </r>
  <r>
    <d v="2014-11-17T00:00:00"/>
    <n v="323.04998799999998"/>
    <n v="86.927543999999997"/>
    <n v="384.69000199999999"/>
    <n v="54.448569999999997"/>
    <x v="1"/>
    <s v="Nov"/>
    <x v="2"/>
    <n v="5.8195482737490138E-3"/>
    <n v="-1.4375205935297423E-2"/>
    <s v="Normal"/>
  </r>
  <r>
    <d v="2014-11-18T00:00:00"/>
    <n v="324.92999300000002"/>
    <n v="87.405067000000003"/>
    <n v="379.16000400000001"/>
    <n v="54.432858000000003"/>
    <x v="1"/>
    <s v="Nov"/>
    <x v="2"/>
    <n v="4.9549627140759922E-3"/>
    <n v="5.9868893766548475E-3"/>
    <s v="Normal"/>
  </r>
  <r>
    <d v="2014-11-19T00:00:00"/>
    <n v="326.540009"/>
    <n v="87.300017999999994"/>
    <n v="381.42999300000002"/>
    <n v="51.871428999999999"/>
    <x v="1"/>
    <s v="Nov"/>
    <x v="2"/>
    <n v="1.2249647485003897E-2"/>
    <n v="-6.3261949618104732E-2"/>
    <s v="High Volatility"/>
  </r>
  <r>
    <d v="2014-11-20T00:00:00"/>
    <n v="330.540009"/>
    <n v="88.312340000000006"/>
    <n v="357.29998799999998"/>
    <n v="52.591427000000003"/>
    <x v="1"/>
    <s v="Nov"/>
    <x v="2"/>
    <n v="6.3229743543692625E-3"/>
    <n v="-1.5477187757420175E-2"/>
    <s v="Normal"/>
  </r>
  <r>
    <d v="2014-11-21T00:00:00"/>
    <n v="332.63000499999998"/>
    <n v="88.532004999999998"/>
    <n v="351.76998900000001"/>
    <n v="51.468570999999997"/>
    <x v="1"/>
    <s v="Nov"/>
    <x v="2"/>
    <n v="9.0491235148796104E-3"/>
    <n v="7.6982169732506656E-2"/>
    <s v="High Volatility"/>
  </r>
  <r>
    <d v="2014-11-24T00:00:00"/>
    <n v="335.64001500000001"/>
    <n v="89.171890000000005"/>
    <n v="378.85000600000001"/>
    <n v="50.924286000000002"/>
    <x v="1"/>
    <s v="Nov"/>
    <x v="2"/>
    <n v="-1.787647399550997E-3"/>
    <n v="-6.3877866218114377E-3"/>
    <s v="Normal"/>
  </r>
  <r>
    <d v="2014-11-25T00:00:00"/>
    <n v="335.040009"/>
    <n v="88.971328999999997"/>
    <n v="376.42999300000002"/>
    <n v="49.855713000000002"/>
    <x v="1"/>
    <s v="Nov"/>
    <x v="2"/>
    <n v="-4.3875416681952821E-3"/>
    <n v="-2.9434389411154113E-2"/>
    <s v="Normal"/>
  </r>
  <r>
    <d v="2014-11-26T00:00:00"/>
    <n v="333.57000699999998"/>
    <n v="89.038177000000005"/>
    <n v="365.35000600000001"/>
    <n v="50.165714000000001"/>
    <x v="1"/>
    <s v="Nov"/>
    <x v="2"/>
    <n v="1.51992322259358E-2"/>
    <n v="3.3502093332386525E-2"/>
    <s v="Normal"/>
  </r>
  <r>
    <d v="2014-11-28T00:00:00"/>
    <n v="338.64001500000001"/>
    <n v="89.630302"/>
    <n v="377.58999599999999"/>
    <n v="49.512855999999999"/>
    <x v="1"/>
    <s v="Nov"/>
    <x v="2"/>
    <n v="-3.732581632445299E-2"/>
    <n v="2.7013136227264072E-3"/>
    <s v="Normal"/>
  </r>
  <r>
    <d v="2014-12-01T00:00:00"/>
    <n v="326"/>
    <n v="89.964554000000007"/>
    <n v="378.60998499999999"/>
    <n v="48.830002"/>
    <x v="1"/>
    <s v="Dec"/>
    <x v="2"/>
    <n v="9.5091411042947033E-4"/>
    <n v="5.3617973123450792E-3"/>
    <s v="Normal"/>
  </r>
  <r>
    <d v="2014-12-02T00:00:00"/>
    <n v="326.30999800000001"/>
    <n v="90.814537000000001"/>
    <n v="380.64001500000001"/>
    <n v="50.330002"/>
    <x v="1"/>
    <s v="Dec"/>
    <x v="2"/>
    <n v="-3.0063430664481226E-2"/>
    <n v="-9.6679903714274578E-3"/>
    <s v="Normal"/>
  </r>
  <r>
    <d v="2014-12-03T00:00:00"/>
    <n v="316.5"/>
    <n v="91.397118000000006"/>
    <n v="376.959991"/>
    <n v="50.731430000000003"/>
    <x v="1"/>
    <s v="Dec"/>
    <x v="2"/>
    <n v="1.3585876777251959E-3"/>
    <n v="-1.8887932857574844E-2"/>
    <s v="Normal"/>
  </r>
  <r>
    <d v="2014-12-04T00:00:00"/>
    <n v="316.92999300000002"/>
    <n v="91.616776000000002"/>
    <n v="369.83999599999999"/>
    <n v="50.085712000000001"/>
    <x v="1"/>
    <s v="Dec"/>
    <x v="2"/>
    <n v="-1.3567627220438052E-2"/>
    <n v="2.1063187011282573E-2"/>
    <s v="Normal"/>
  </r>
  <r>
    <d v="2014-12-05T00:00:00"/>
    <n v="312.63000499999998"/>
    <n v="90.623542999999998"/>
    <n v="377.63000499999998"/>
    <n v="50.131428"/>
    <x v="1"/>
    <s v="Dec"/>
    <x v="2"/>
    <n v="-1.9159997134631967E-2"/>
    <n v="-3.3577821762335779E-2"/>
    <s v="Normal"/>
  </r>
  <r>
    <d v="2014-12-08T00:00:00"/>
    <n v="306.64001500000001"/>
    <n v="91.110611000000006"/>
    <n v="364.95001200000002"/>
    <n v="48.497143000000001"/>
    <x v="1"/>
    <s v="Dec"/>
    <x v="2"/>
    <n v="1.9110307570262788E-2"/>
    <n v="-3.4963719908029545E-2"/>
    <s v="Normal"/>
  </r>
  <r>
    <d v="2014-12-09T00:00:00"/>
    <n v="312.5"/>
    <n v="90.652184000000005"/>
    <n v="352.19000199999999"/>
    <n v="49.111426999999999"/>
    <x v="1"/>
    <s v="Dec"/>
    <x v="2"/>
    <n v="-2.1312012800000047E-2"/>
    <n v="-1.2067349941410319E-2"/>
    <s v="Normal"/>
  </r>
  <r>
    <d v="2014-12-10T00:00:00"/>
    <n v="305.83999599999999"/>
    <n v="89.124145999999996"/>
    <n v="347.94000199999999"/>
    <n v="47.759998000000003"/>
    <x v="1"/>
    <s v="Dec"/>
    <x v="2"/>
    <n v="4.9698830103307012E-3"/>
    <n v="-7.4728113613095907E-4"/>
    <s v="Normal"/>
  </r>
  <r>
    <d v="2014-12-11T00:00:00"/>
    <n v="307.35998499999999"/>
    <n v="90.129615999999999"/>
    <n v="347.67999300000002"/>
    <n v="47.804287000000002"/>
    <x v="1"/>
    <s v="Dec"/>
    <x v="2"/>
    <n v="-1.3006898084023255E-4"/>
    <n v="1.6451913009558672E-2"/>
    <s v="Normal"/>
  </r>
  <r>
    <d v="2014-12-12T00:00:00"/>
    <n v="307.32000699999998"/>
    <n v="91.039344999999997"/>
    <n v="353.39999399999999"/>
    <n v="47.782856000000002"/>
    <x v="1"/>
    <s v="Dec"/>
    <x v="2"/>
    <n v="-4.0674214874659954E-3"/>
    <n v="-2.2722125456515925E-2"/>
    <s v="Normal"/>
  </r>
  <r>
    <d v="2014-12-15T00:00:00"/>
    <n v="306.07000699999998"/>
    <n v="90.014702"/>
    <n v="345.36999500000002"/>
    <n v="46.720001000000003"/>
    <x v="1"/>
    <s v="Dec"/>
    <x v="2"/>
    <n v="-3.5972191812966403E-2"/>
    <n v="-4.3865982046297887E-2"/>
    <s v="Normal"/>
  </r>
  <r>
    <d v="2014-12-16T00:00:00"/>
    <n v="295.05999800000001"/>
    <n v="88.980484000000004"/>
    <n v="330.22000100000002"/>
    <n v="45.205714999999998"/>
    <x v="1"/>
    <s v="Dec"/>
    <x v="2"/>
    <n v="1.2946543163739787E-2"/>
    <n v="-3.0888534822577311E-2"/>
    <s v="Normal"/>
  </r>
  <r>
    <d v="2014-12-17T00:00:00"/>
    <n v="298.88000499999998"/>
    <n v="89.468872000000005"/>
    <n v="320.01998900000001"/>
    <n v="47.664287999999999"/>
    <x v="1"/>
    <s v="Dec"/>
    <x v="2"/>
    <n v="-3.8476779334903734E-3"/>
    <n v="-3.0248088659236921E-2"/>
    <s v="Normal"/>
  </r>
  <r>
    <d v="2014-12-18T00:00:00"/>
    <n v="297.73001099999999"/>
    <n v="90.445625000000007"/>
    <n v="310.33999599999999"/>
    <n v="47.774284000000002"/>
    <x v="1"/>
    <s v="Dec"/>
    <x v="2"/>
    <n v="7.2884254855987698E-3"/>
    <n v="2.3973716233469278E-2"/>
    <s v="Normal"/>
  </r>
  <r>
    <d v="2014-12-19T00:00:00"/>
    <n v="299.89999399999999"/>
    <n v="91.633041000000006"/>
    <n v="317.77999899999998"/>
    <n v="48.588569999999997"/>
    <x v="1"/>
    <s v="Dec"/>
    <x v="2"/>
    <n v="2.2140764030825575E-2"/>
    <n v="4.1097605390828927E-2"/>
    <s v="Normal"/>
  </r>
  <r>
    <d v="2014-12-22T00:00:00"/>
    <n v="306.540009"/>
    <n v="91.834159999999997"/>
    <n v="330.83999599999999"/>
    <n v="48.097141000000001"/>
    <x v="1"/>
    <s v="Dec"/>
    <x v="2"/>
    <n v="-8.1555422672412072E-4"/>
    <n v="1.332971845399253E-2"/>
    <s v="Normal"/>
  </r>
  <r>
    <d v="2014-12-23T00:00:00"/>
    <n v="306.290009"/>
    <n v="91.566024999999996"/>
    <n v="335.25"/>
    <n v="48.061427999999999"/>
    <x v="1"/>
    <s v="Dec"/>
    <x v="2"/>
    <n v="-1.0643540122786123E-2"/>
    <n v="-3.8329622669649538E-2"/>
    <s v="Normal"/>
  </r>
  <r>
    <d v="2014-12-24T00:00:00"/>
    <n v="303.02999899999998"/>
    <n v="91.345787000000001"/>
    <n v="322.39999399999999"/>
    <n v="48.871428999999999"/>
    <x v="1"/>
    <s v="Dec"/>
    <x v="2"/>
    <n v="1.999801016400363E-2"/>
    <n v="2.3511219420183978E-2"/>
    <s v="Normal"/>
  </r>
  <r>
    <d v="2014-12-26T00:00:00"/>
    <n v="309.08999599999999"/>
    <n v="91.403221000000002"/>
    <n v="329.98001099999999"/>
    <n v="48.578570999999997"/>
    <x v="1"/>
    <s v="Dec"/>
    <x v="2"/>
    <n v="9.5441879005362974E-3"/>
    <n v="-4.8063565886722677E-2"/>
    <s v="Normal"/>
  </r>
  <r>
    <d v="2014-12-29T00:00:00"/>
    <n v="312.040009"/>
    <n v="91.393646000000004"/>
    <n v="314.11999500000002"/>
    <n v="48.847141000000001"/>
    <x v="1"/>
    <s v="Dec"/>
    <x v="2"/>
    <n v="-5.5762753166694497E-3"/>
    <n v="-9.0729849909745707E-3"/>
    <s v="Normal"/>
  </r>
  <r>
    <d v="2014-12-30T00:00:00"/>
    <n v="310.29998799999998"/>
    <n v="90.895698999999993"/>
    <n v="311.26998900000001"/>
    <n v="49.032856000000002"/>
    <x v="1"/>
    <s v="Dec"/>
    <x v="2"/>
    <n v="1.6119240069072374E-4"/>
    <n v="2.2392139449074762E-2"/>
    <s v="Normal"/>
  </r>
  <r>
    <d v="2014-12-31T00:00:00"/>
    <n v="310.35000600000001"/>
    <n v="90.177490000000006"/>
    <n v="318.23998999999998"/>
    <n v="48.801430000000003"/>
    <x v="1"/>
    <s v="Dec"/>
    <x v="2"/>
    <n v="-5.8966230533921693E-3"/>
    <n v="-9.5211132956608477E-3"/>
    <s v="Normal"/>
  </r>
  <r>
    <d v="2015-01-02T00:00:00"/>
    <n v="308.51998900000001"/>
    <n v="90.292411999999999"/>
    <n v="315.209991"/>
    <n v="49.848571999999997"/>
    <x v="2"/>
    <s v="Jan"/>
    <x v="3"/>
    <n v="-2.0517267035167749E-2"/>
    <n v="-0.12807333572113841"/>
    <s v="High Volatility"/>
  </r>
  <r>
    <d v="2015-01-05T00:00:00"/>
    <n v="302.19000199999999"/>
    <n v="91.422379000000006"/>
    <n v="274.83999599999999"/>
    <n v="47.311427999999999"/>
    <x v="2"/>
    <s v="Jan"/>
    <x v="3"/>
    <n v="-2.2833293472098375E-2"/>
    <n v="2.7033885563002354E-2"/>
    <s v="Normal"/>
  </r>
  <r>
    <d v="2015-01-06T00:00:00"/>
    <n v="295.290009"/>
    <n v="90.292411999999999"/>
    <n v="282.26998900000001"/>
    <n v="46.501427"/>
    <x v="2"/>
    <s v="Jan"/>
    <x v="3"/>
    <n v="1.0599762621836574E-2"/>
    <n v="3.2132381597251472E-2"/>
    <s v="Normal"/>
  </r>
  <r>
    <d v="2015-01-07T00:00:00"/>
    <n v="298.42001299999998"/>
    <n v="93.366309999999999"/>
    <n v="291.33999599999999"/>
    <n v="46.742859000000003"/>
    <x v="2"/>
    <s v="Jan"/>
    <x v="3"/>
    <n v="6.8359289294716947E-3"/>
    <n v="-2.9690375913920149E-2"/>
    <s v="Normal"/>
  </r>
  <r>
    <d v="2015-01-08T00:00:00"/>
    <n v="300.459991"/>
    <n v="96.507239999999996"/>
    <n v="282.69000199999999"/>
    <n v="47.779998999999997"/>
    <x v="2"/>
    <s v="Jan"/>
    <x v="3"/>
    <n v="-1.1748645762290453E-2"/>
    <n v="1.8677699821870716E-2"/>
    <s v="Normal"/>
  </r>
  <r>
    <d v="2015-01-09T00:00:00"/>
    <n v="296.92999300000002"/>
    <n v="96.23912"/>
    <n v="287.97000100000002"/>
    <n v="47.041428000000003"/>
    <x v="2"/>
    <s v="Jan"/>
    <x v="3"/>
    <n v="-1.8590203516422838E-2"/>
    <n v="-6.4729013214122971E-2"/>
    <s v="High Volatility"/>
  </r>
  <r>
    <d v="2015-01-12T00:00:00"/>
    <n v="291.41000400000001"/>
    <n v="97.790451000000004"/>
    <n v="269.32998700000002"/>
    <n v="45.547142000000001"/>
    <x v="2"/>
    <s v="Jan"/>
    <x v="3"/>
    <n v="1.1427150592949315E-2"/>
    <n v="-0.17836853049712584"/>
    <s v="High Volatility"/>
  </r>
  <r>
    <d v="2015-01-13T00:00:00"/>
    <n v="294.73998999999998"/>
    <n v="97.388251999999994"/>
    <n v="221.28999300000001"/>
    <n v="46.255713999999998"/>
    <x v="2"/>
    <s v="Jan"/>
    <x v="3"/>
    <n v="-4.9874501251084662E-3"/>
    <n v="-0.25473359294651887"/>
    <s v="High Volatility"/>
  </r>
  <r>
    <d v="2015-01-14T00:00:00"/>
    <n v="293.26998900000001"/>
    <n v="94.716530000000006"/>
    <n v="164.91999799999999"/>
    <n v="46.32"/>
    <x v="2"/>
    <s v="Jan"/>
    <x v="3"/>
    <n v="-2.1550029791831151E-2"/>
    <n v="0.27201068120313715"/>
    <s v="High Volatility"/>
  </r>
  <r>
    <d v="2015-01-15T00:00:00"/>
    <n v="286.95001200000002"/>
    <n v="92.724723999999995"/>
    <n v="209.779999"/>
    <n v="46.251427"/>
    <x v="2"/>
    <s v="Jan"/>
    <x v="3"/>
    <n v="1.3207798715826372E-2"/>
    <n v="-1.3633334987288331E-2"/>
    <s v="Normal"/>
  </r>
  <r>
    <d v="2015-01-16T00:00:00"/>
    <n v="290.73998999999998"/>
    <n v="94.314339000000004"/>
    <n v="206.91999799999999"/>
    <n v="48.191428999999999"/>
    <x v="2"/>
    <s v="Jan"/>
    <x v="3"/>
    <n v="-4.4713078513897763E-3"/>
    <n v="1.7543036125488517E-2"/>
    <s v="Normal"/>
  </r>
  <r>
    <d v="2015-01-20T00:00:00"/>
    <n v="289.44000199999999"/>
    <n v="93.375884999999997"/>
    <n v="210.550003"/>
    <n v="49.828570999999997"/>
    <x v="2"/>
    <s v="Jan"/>
    <x v="3"/>
    <n v="2.6983132759928627E-2"/>
    <n v="8.3685560431932121E-2"/>
    <s v="High Volatility"/>
  </r>
  <r>
    <d v="2015-01-21T00:00:00"/>
    <n v="297.25"/>
    <n v="93.251411000000004"/>
    <n v="228.16999799999999"/>
    <n v="58.468570999999997"/>
    <x v="2"/>
    <s v="Jan"/>
    <x v="3"/>
    <n v="4.3969746005046176E-2"/>
    <n v="1.9853613707793448E-2"/>
    <s v="Normal"/>
  </r>
  <r>
    <d v="2015-01-22T00:00:00"/>
    <n v="310.32000699999998"/>
    <n v="94.812302000000003"/>
    <n v="232.699997"/>
    <n v="61.205714999999998"/>
    <x v="2"/>
    <s v="Jan"/>
    <x v="3"/>
    <n v="6.6705592720614692E-3"/>
    <n v="-2.2776063894835532E-3"/>
    <s v="Normal"/>
  </r>
  <r>
    <d v="2015-01-23T00:00:00"/>
    <n v="312.39001500000001"/>
    <n v="93.940871999999999"/>
    <n v="232.16999799999999"/>
    <n v="62.494286000000002"/>
    <x v="2"/>
    <s v="Jan"/>
    <x v="3"/>
    <n v="-8.7391109475761907E-3"/>
    <n v="0.15940903354790928"/>
    <s v="High Volatility"/>
  </r>
  <r>
    <d v="2015-01-26T00:00:00"/>
    <n v="309.66000400000001"/>
    <n v="94.553741000000002"/>
    <n v="269.17999300000002"/>
    <n v="63.794285000000002"/>
    <x v="2"/>
    <s v="Jan"/>
    <x v="3"/>
    <n v="-9.3974163999559161E-3"/>
    <n v="-2.1955584195293497E-2"/>
    <s v="Normal"/>
  </r>
  <r>
    <d v="2015-01-27T00:00:00"/>
    <n v="306.75"/>
    <n v="94.735686999999999"/>
    <n v="263.26998900000001"/>
    <n v="64.881432000000004"/>
    <x v="2"/>
    <s v="Jan"/>
    <x v="3"/>
    <n v="-9.2583406682966093E-3"/>
    <n v="-0.10293611931590127"/>
    <s v="High Volatility"/>
  </r>
  <r>
    <d v="2015-01-28T00:00:00"/>
    <n v="303.91000400000001"/>
    <n v="95.654967999999997"/>
    <n v="236.16999799999999"/>
    <n v="63.208571999999997"/>
    <x v="2"/>
    <s v="Jan"/>
    <x v="3"/>
    <n v="2.5895807628629298E-2"/>
    <n v="-9.2306093850244107E-3"/>
    <s v="Normal"/>
  </r>
  <r>
    <d v="2015-01-29T00:00:00"/>
    <n v="311.77999899999998"/>
    <n v="96.995627999999996"/>
    <n v="233.990005"/>
    <n v="63.400002000000001"/>
    <x v="2"/>
    <s v="Jan"/>
    <x v="3"/>
    <n v="0.13711591550810159"/>
    <n v="-9.1884651226875388E-3"/>
    <s v="Normal"/>
  </r>
  <r>
    <d v="2015-01-30T00:00:00"/>
    <n v="354.52999899999998"/>
    <n v="94.850594000000001"/>
    <n v="231.83999600000001"/>
    <n v="63.114285000000002"/>
    <x v="2"/>
    <s v="Jan"/>
    <x v="3"/>
    <n v="2.8037125287104548E-2"/>
    <n v="3.0279525194608772E-2"/>
    <s v="Normal"/>
  </r>
  <r>
    <d v="2015-02-02T00:00:00"/>
    <n v="364.47000100000002"/>
    <n v="93.921729999999997"/>
    <n v="238.86000100000001"/>
    <n v="63.009998000000003"/>
    <x v="2"/>
    <s v="Feb"/>
    <x v="3"/>
    <n v="-2.5242489024495597E-3"/>
    <n v="-4.7936016712986716E-2"/>
    <s v="Normal"/>
  </r>
  <r>
    <d v="2015-02-03T00:00:00"/>
    <n v="363.54998799999998"/>
    <n v="95.157043000000002"/>
    <n v="227.41000399999999"/>
    <n v="65.274283999999994"/>
    <x v="2"/>
    <s v="Feb"/>
    <x v="3"/>
    <n v="3.3008170529770869E-3"/>
    <n v="-3.6498042539939409E-3"/>
    <s v="Normal"/>
  </r>
  <r>
    <d v="2015-02-04T00:00:00"/>
    <n v="364.75"/>
    <n v="95.492194999999995"/>
    <n v="226.58000200000001"/>
    <n v="64.101425000000006"/>
    <x v="2"/>
    <s v="Feb"/>
    <x v="3"/>
    <n v="2.5058300205620304E-2"/>
    <n v="-4.4399319936452325E-2"/>
    <s v="Normal"/>
  </r>
  <r>
    <d v="2015-02-05T00:00:00"/>
    <n v="373.89001500000001"/>
    <n v="95.511336999999997"/>
    <n v="216.520004"/>
    <n v="64.129997000000003"/>
    <x v="2"/>
    <s v="Feb"/>
    <x v="3"/>
    <n v="1.0430447039351128E-3"/>
    <n v="2.9743224094896978E-2"/>
    <s v="Normal"/>
  </r>
  <r>
    <d v="2015-02-06T00:00:00"/>
    <n v="374.27999899999998"/>
    <n v="95.626266000000001"/>
    <n v="222.96000699999999"/>
    <n v="63.48"/>
    <x v="2"/>
    <s v="Feb"/>
    <x v="3"/>
    <n v="-9.9390857377873627E-3"/>
    <n v="-1.1751035691347E-2"/>
    <s v="Normal"/>
  </r>
  <r>
    <d v="2015-02-09T00:00:00"/>
    <n v="370.55999800000001"/>
    <n v="94.448409999999996"/>
    <n v="220.33999600000001"/>
    <n v="63.295715000000001"/>
    <x v="2"/>
    <s v="Feb"/>
    <x v="3"/>
    <n v="6.5846341028963215E-3"/>
    <n v="-3.0407461748343722E-3"/>
    <s v="Normal"/>
  </r>
  <r>
    <d v="2015-02-10T00:00:00"/>
    <n v="373"/>
    <n v="96.650863999999999"/>
    <n v="219.66999799999999"/>
    <n v="64.849997999999999"/>
    <x v="2"/>
    <s v="Feb"/>
    <x v="3"/>
    <n v="5.7373056300268239E-3"/>
    <n v="-3.823899520406902E-3"/>
    <s v="Normal"/>
  </r>
  <r>
    <d v="2015-02-11T00:00:00"/>
    <n v="375.14001500000001"/>
    <n v="96.191246000000007"/>
    <n v="218.83000200000001"/>
    <n v="64.984283000000005"/>
    <x v="2"/>
    <s v="Feb"/>
    <x v="3"/>
    <n v="5.4113075620578028E-3"/>
    <n v="1.3526440492378198E-2"/>
    <s v="Normal"/>
  </r>
  <r>
    <d v="2015-02-12T00:00:00"/>
    <n v="377.17001299999998"/>
    <n v="96.296584999999993"/>
    <n v="221.78999300000001"/>
    <n v="65.247146999999998"/>
    <x v="2"/>
    <s v="Feb"/>
    <x v="3"/>
    <n v="1.235510204783972E-2"/>
    <n v="6.4836130816776666E-2"/>
    <s v="High Volatility"/>
  </r>
  <r>
    <d v="2015-02-13T00:00:00"/>
    <n v="381.82998700000002"/>
    <n v="95.760329999999996"/>
    <n v="236.16999799999999"/>
    <n v="66.585716000000005"/>
    <x v="2"/>
    <s v="Feb"/>
    <x v="3"/>
    <n v="-1.6761370813969077E-2"/>
    <n v="2.9766689501348108E-2"/>
    <s v="Normal"/>
  </r>
  <r>
    <d v="2015-02-17T00:00:00"/>
    <n v="375.42999300000002"/>
    <n v="96.401900999999995"/>
    <n v="243.199997"/>
    <n v="67.137146000000001"/>
    <x v="2"/>
    <s v="Feb"/>
    <x v="3"/>
    <n v="-5.4870363007997799E-3"/>
    <n v="-3.2894737247879162E-2"/>
    <s v="Normal"/>
  </r>
  <r>
    <d v="2015-02-18T00:00:00"/>
    <n v="373.36999500000002"/>
    <n v="97.531897999999998"/>
    <n v="235.199997"/>
    <n v="67.865714999999994"/>
    <x v="2"/>
    <s v="Feb"/>
    <x v="3"/>
    <n v="1.5078889775275012E-2"/>
    <n v="2.8571433187560783E-2"/>
    <s v="Normal"/>
  </r>
  <r>
    <d v="2015-02-19T00:00:00"/>
    <n v="379"/>
    <n v="97.436119000000005"/>
    <n v="241.91999799999999"/>
    <n v="67.800003000000004"/>
    <x v="2"/>
    <s v="Feb"/>
    <x v="3"/>
    <n v="1.2295525065963099E-2"/>
    <n v="1.074737938779252E-2"/>
    <s v="Normal"/>
  </r>
  <r>
    <d v="2015-02-20T00:00:00"/>
    <n v="383.66000400000001"/>
    <n v="98.154319999999998"/>
    <n v="244.520004"/>
    <n v="68.314284999999998"/>
    <x v="2"/>
    <s v="Feb"/>
    <x v="3"/>
    <n v="-9.1747614119297386E-3"/>
    <n v="-2.331096395696115E-2"/>
    <s v="Normal"/>
  </r>
  <r>
    <d v="2015-02-23T00:00:00"/>
    <n v="380.14001500000001"/>
    <n v="100.069534"/>
    <n v="238.820007"/>
    <n v="67.405715999999998"/>
    <x v="2"/>
    <s v="Feb"/>
    <x v="3"/>
    <n v="-4.0774949724774971E-3"/>
    <n v="2.9307427329564126E-4"/>
    <s v="Normal"/>
  </r>
  <r>
    <d v="2015-02-24T00:00:00"/>
    <n v="378.58999599999999"/>
    <n v="99.140647999999999"/>
    <n v="238.88999899999999"/>
    <n v="67.839995999999999"/>
    <x v="2"/>
    <s v="Feb"/>
    <x v="3"/>
    <n v="1.7908552977189688E-2"/>
    <n v="-6.5301896543604639E-3"/>
    <s v="Normal"/>
  </r>
  <r>
    <d v="2015-02-25T00:00:00"/>
    <n v="385.36999500000002"/>
    <n v="99.523705000000007"/>
    <n v="237.33000200000001"/>
    <n v="68.332854999999995"/>
    <x v="2"/>
    <s v="Feb"/>
    <x v="3"/>
    <n v="-1.4791161932574235E-3"/>
    <n v="-3.3708464722467064E-3"/>
    <s v="Normal"/>
  </r>
  <r>
    <d v="2015-02-26T00:00:00"/>
    <n v="384.79998799999998"/>
    <n v="99.590744000000001"/>
    <n v="236.529999"/>
    <n v="69.004288000000003"/>
    <x v="2"/>
    <s v="Feb"/>
    <x v="3"/>
    <n v="-1.2058170854204835E-2"/>
    <n v="7.1618830895103472E-2"/>
    <s v="High Volatility"/>
  </r>
  <r>
    <d v="2015-02-27T00:00:00"/>
    <n v="380.16000400000001"/>
    <n v="97.225448999999998"/>
    <n v="253.470001"/>
    <n v="67.844284000000002"/>
    <x v="2"/>
    <s v="Feb"/>
    <x v="3"/>
    <n v="1.4467592440366241E-2"/>
    <n v="8.000946431526626E-2"/>
    <s v="High Volatility"/>
  </r>
  <r>
    <d v="2015-03-02T00:00:00"/>
    <n v="385.66000400000001"/>
    <n v="100.01206999999999"/>
    <n v="273.75"/>
    <n v="68.607140000000001"/>
    <x v="2"/>
    <s v="Mar"/>
    <x v="3"/>
    <n v="-2.7226546416776478E-3"/>
    <n v="2.5205457534246547E-2"/>
    <s v="Normal"/>
  </r>
  <r>
    <d v="2015-03-03T00:00:00"/>
    <n v="384.60998499999999"/>
    <n v="98.470344999999995"/>
    <n v="280.64999399999999"/>
    <n v="67.815712000000005"/>
    <x v="2"/>
    <s v="Mar"/>
    <x v="3"/>
    <n v="-4.9140273880304225E-3"/>
    <n v="-3.1106293200205838E-2"/>
    <s v="Normal"/>
  </r>
  <r>
    <d v="2015-03-04T00:00:00"/>
    <n v="382.72000100000002"/>
    <n v="98.901245000000003"/>
    <n v="271.92001299999998"/>
    <n v="67.110000999999997"/>
    <x v="2"/>
    <s v="Mar"/>
    <x v="3"/>
    <n v="1.3351761043708797E-2"/>
    <n v="1.2172689915250952E-2"/>
    <s v="Normal"/>
  </r>
  <r>
    <d v="2015-03-05T00:00:00"/>
    <n v="387.82998700000002"/>
    <n v="98.997024999999994"/>
    <n v="275.23001099999999"/>
    <n v="66.807143999999994"/>
    <x v="2"/>
    <s v="Mar"/>
    <x v="3"/>
    <n v="-1.9957175204195935E-2"/>
    <n v="-9.7010242098925156E-3"/>
    <s v="Normal"/>
  </r>
  <r>
    <d v="2015-03-06T00:00:00"/>
    <n v="380.08999599999999"/>
    <n v="96.593429999999998"/>
    <n v="272.55999800000001"/>
    <n v="64.874283000000005"/>
    <x v="2"/>
    <s v="Mar"/>
    <x v="3"/>
    <n v="-4.0253571946155028E-3"/>
    <n v="6.4059257147485019E-2"/>
    <s v="High Volatility"/>
  </r>
  <r>
    <d v="2015-03-09T00:00:00"/>
    <n v="378.55999800000001"/>
    <n v="97.062659999999994"/>
    <n v="290.01998900000001"/>
    <n v="63.661430000000003"/>
    <x v="2"/>
    <s v="Mar"/>
    <x v="3"/>
    <n v="-2.3906350506690315E-2"/>
    <n v="4.654872254339709E-3"/>
    <s v="Normal"/>
  </r>
  <r>
    <d v="2015-03-10T00:00:00"/>
    <n v="369.51001000000002"/>
    <n v="94.831435999999997"/>
    <n v="291.36999500000002"/>
    <n v="62.151428000000003"/>
    <x v="2"/>
    <s v="Mar"/>
    <x v="3"/>
    <n v="-8.4977806149284154E-3"/>
    <n v="1.4517661641858456E-2"/>
    <s v="Normal"/>
  </r>
  <r>
    <d v="2015-03-11T00:00:00"/>
    <n v="366.36999500000002"/>
    <n v="94.293509999999998"/>
    <n v="295.60000600000001"/>
    <n v="62.884284999999998"/>
    <x v="2"/>
    <s v="Mar"/>
    <x v="3"/>
    <n v="2.1481003104525411E-2"/>
    <n v="-5.920162261431077E-3"/>
    <s v="Normal"/>
  </r>
  <r>
    <d v="2015-03-12T00:00:00"/>
    <n v="374.23998999999998"/>
    <n v="96.752662999999998"/>
    <n v="293.85000600000001"/>
    <n v="64.045715000000001"/>
    <x v="2"/>
    <s v="Mar"/>
    <x v="3"/>
    <n v="-9.7798287136550022E-3"/>
    <n v="-2.2596613457275223E-2"/>
    <s v="Normal"/>
  </r>
  <r>
    <d v="2015-03-13T00:00:00"/>
    <n v="370.57998700000002"/>
    <n v="95.792068"/>
    <n v="287.209991"/>
    <n v="62.628571000000001"/>
    <x v="2"/>
    <s v="Mar"/>
    <x v="3"/>
    <n v="7.4748208137855824E-3"/>
    <n v="1.1141718952249167E-2"/>
    <s v="Normal"/>
  </r>
  <r>
    <d v="2015-03-16T00:00:00"/>
    <n v="373.35000600000001"/>
    <n v="97.530754000000002"/>
    <n v="290.41000400000001"/>
    <n v="60.281429000000003"/>
    <x v="2"/>
    <s v="Mar"/>
    <x v="3"/>
    <n v="-3.8301673416874793E-3"/>
    <n v="-1.73203365266991E-2"/>
    <s v="Normal"/>
  </r>
  <r>
    <d v="2015-03-17T00:00:00"/>
    <n v="371.92001299999998"/>
    <n v="98.126334999999997"/>
    <n v="285.38000499999998"/>
    <n v="59.78857"/>
    <x v="2"/>
    <s v="Mar"/>
    <x v="3"/>
    <n v="8.6577809406562442E-3"/>
    <n v="-0.10323080273265814"/>
    <s v="High Volatility"/>
  </r>
  <r>
    <d v="2015-03-18T00:00:00"/>
    <n v="375.14001500000001"/>
    <n v="98.145538000000002"/>
    <n v="255.91999799999999"/>
    <n v="60.445712999999998"/>
    <x v="2"/>
    <s v="Mar"/>
    <x v="3"/>
    <n v="-5.0648422562973661E-3"/>
    <n v="1.9576410750050226E-2"/>
    <s v="Normal"/>
  </r>
  <r>
    <d v="2015-03-19T00:00:00"/>
    <n v="373.23998999999998"/>
    <n v="99.682518000000002"/>
    <n v="260.92999300000002"/>
    <n v="60.744286000000002"/>
    <x v="2"/>
    <s v="Mar"/>
    <x v="3"/>
    <n v="1.4066016880988557E-2"/>
    <n v="3.2576017430083273E-3"/>
    <s v="Normal"/>
  </r>
  <r>
    <d v="2015-03-20T00:00:00"/>
    <n v="378.48998999999998"/>
    <n v="100.508652"/>
    <n v="261.77999899999998"/>
    <n v="61.185715000000002"/>
    <x v="2"/>
    <s v="Mar"/>
    <x v="3"/>
    <n v="-8.9302361734850191E-3"/>
    <n v="1.4057575116730088E-2"/>
    <s v="Normal"/>
  </r>
  <r>
    <d v="2015-03-23T00:00:00"/>
    <n v="375.10998499999999"/>
    <n v="99.922675999999996"/>
    <n v="265.459991"/>
    <n v="60.714286999999999"/>
    <x v="2"/>
    <s v="Mar"/>
    <x v="3"/>
    <n v="-2.7191731513092343E-3"/>
    <n v="-7.0594404563209701E-2"/>
    <s v="High Volatility"/>
  </r>
  <r>
    <d v="2015-03-24T00:00:00"/>
    <n v="374.08999599999999"/>
    <n v="99.989922000000007"/>
    <n v="246.720001"/>
    <n v="62.611426999999999"/>
    <x v="2"/>
    <s v="Mar"/>
    <x v="3"/>
    <n v="-8.3669839703491636E-3"/>
    <n v="-1.4186365052746882E-3"/>
    <s v="Normal"/>
  </r>
  <r>
    <d v="2015-03-25T00:00:00"/>
    <n v="370.959991"/>
    <n v="97.127303999999995"/>
    <n v="246.36999499999999"/>
    <n v="60.25"/>
    <x v="2"/>
    <s v="Mar"/>
    <x v="3"/>
    <n v="-9.7314672406275601E-3"/>
    <n v="6.6972806489686842E-3"/>
    <s v="Normal"/>
  </r>
  <r>
    <d v="2015-03-26T00:00:00"/>
    <n v="367.35000600000001"/>
    <n v="96.579757999999998"/>
    <n v="248.020004"/>
    <n v="59.751427"/>
    <x v="2"/>
    <s v="Mar"/>
    <x v="3"/>
    <n v="8.7382385941760388E-3"/>
    <n v="-3.2658535075259891E-3"/>
    <s v="Normal"/>
  </r>
  <r>
    <d v="2015-03-27T00:00:00"/>
    <n v="370.55999800000001"/>
    <n v="97.069678999999994"/>
    <n v="247.21000699999999"/>
    <n v="59.252856999999999"/>
    <x v="2"/>
    <s v="Mar"/>
    <x v="3"/>
    <n v="1.0875426440389763E-2"/>
    <n v="-1.2378192279247005E-2"/>
    <s v="Normal"/>
  </r>
  <r>
    <d v="2015-03-30T00:00:00"/>
    <n v="374.58999599999999"/>
    <n v="98.510604999999998"/>
    <n v="244.14999399999999"/>
    <n v="60.367142000000001"/>
    <x v="2"/>
    <s v="Mar"/>
    <x v="3"/>
    <n v="-6.6472410544567177E-3"/>
    <n v="8.5603565486878693E-3"/>
    <s v="Normal"/>
  </r>
  <r>
    <d v="2015-03-31T00:00:00"/>
    <n v="372.10000600000001"/>
    <n v="96.589371"/>
    <n v="246.240005"/>
    <n v="59.527141999999998"/>
    <x v="2"/>
    <s v="Mar"/>
    <x v="3"/>
    <n v="-4.9448964534550026E-3"/>
    <n v="2.5828463575607915E-2"/>
    <s v="Normal"/>
  </r>
  <r>
    <d v="2015-04-01T00:00:00"/>
    <n v="370.26001000000002"/>
    <n v="96.541327999999993"/>
    <n v="252.60000600000001"/>
    <n v="59.017142999999997"/>
    <x v="2"/>
    <s v="Apr"/>
    <x v="0"/>
    <n v="5.3745744780808961E-3"/>
    <n v="7.4425572262258469E-3"/>
    <s v="Normal"/>
  </r>
  <r>
    <d v="2015-04-02T00:00:00"/>
    <n v="372.25"/>
    <n v="97.012039000000001"/>
    <n v="254.479996"/>
    <n v="59.154285000000002"/>
    <x v="2"/>
    <s v="Apr"/>
    <x v="0"/>
    <n v="1.2867720617864332E-2"/>
    <n v="-5.9336491030124172E-3"/>
    <s v="Normal"/>
  </r>
  <r>
    <d v="2015-04-06T00:00:00"/>
    <n v="377.040009"/>
    <n v="96.839118999999997"/>
    <n v="252.970001"/>
    <n v="60.330002"/>
    <x v="2"/>
    <s v="Apr"/>
    <x v="0"/>
    <n v="-6.97540032150801E-3"/>
    <n v="-3.3205494591431781E-2"/>
    <s v="Normal"/>
  </r>
  <r>
    <d v="2015-04-07T00:00:00"/>
    <n v="374.41000400000001"/>
    <n v="95.475059999999999"/>
    <n v="244.570007"/>
    <n v="60.494286000000002"/>
    <x v="2"/>
    <s v="Apr"/>
    <x v="0"/>
    <n v="1.8135220553561919E-2"/>
    <n v="-5.111011016162746E-3"/>
    <s v="Normal"/>
  </r>
  <r>
    <d v="2015-04-08T00:00:00"/>
    <n v="381.20001200000002"/>
    <n v="96.339607000000001"/>
    <n v="243.320007"/>
    <n v="63.049999"/>
    <x v="2"/>
    <s v="Apr"/>
    <x v="0"/>
    <n v="6.1385019053986347E-3"/>
    <n v="-3.5303348482971252E-2"/>
    <s v="Normal"/>
  </r>
  <r>
    <d v="2015-04-09T00:00:00"/>
    <n v="383.540009"/>
    <n v="95.292525999999995"/>
    <n v="234.729996"/>
    <n v="62.785713000000001"/>
    <x v="2"/>
    <s v="Apr"/>
    <x v="0"/>
    <n v="-2.3205271395819499E-3"/>
    <n v="7.4553743868337984E-3"/>
    <s v="Normal"/>
  </r>
  <r>
    <d v="2015-04-10T00:00:00"/>
    <n v="382.64999399999999"/>
    <n v="96.541327999999993"/>
    <n v="236.479996"/>
    <n v="64.938568000000004"/>
    <x v="2"/>
    <s v="Apr"/>
    <x v="0"/>
    <n v="-7.5789626172056794E-4"/>
    <n v="-7.8188393575581772E-2"/>
    <s v="High Volatility"/>
  </r>
  <r>
    <d v="2015-04-13T00:00:00"/>
    <n v="382.35998499999999"/>
    <n v="96.253142999999994"/>
    <n v="217.990005"/>
    <n v="67.811431999999996"/>
    <x v="2"/>
    <s v="Apr"/>
    <x v="0"/>
    <n v="7.1921751958432577E-3"/>
    <n v="2.2845065763450943E-2"/>
    <s v="Normal"/>
  </r>
  <r>
    <d v="2015-04-14T00:00:00"/>
    <n v="385.10998499999999"/>
    <n v="94.610504000000006"/>
    <n v="222.970001"/>
    <n v="68.387146000000001"/>
    <x v="2"/>
    <s v="Apr"/>
    <x v="0"/>
    <n v="-4.3103868106665151E-3"/>
    <n v="2.2469367975649798E-2"/>
    <s v="Normal"/>
  </r>
  <r>
    <d v="2015-04-15T00:00:00"/>
    <n v="383.45001200000002"/>
    <n v="94.485634000000005"/>
    <n v="227.979996"/>
    <n v="67.922859000000003"/>
    <x v="2"/>
    <s v="Apr"/>
    <x v="0"/>
    <n v="6.7544579969917497E-3"/>
    <n v="-2.3642425188918709E-2"/>
    <s v="Normal"/>
  </r>
  <r>
    <d v="2015-04-16T00:00:00"/>
    <n v="386.040009"/>
    <n v="96.474082999999993"/>
    <n v="222.58999600000001"/>
    <n v="80.292854000000005"/>
    <x v="2"/>
    <s v="Apr"/>
    <x v="0"/>
    <n v="-2.7147473722082496E-2"/>
    <n v="3.4143942389935353E-3"/>
    <s v="Normal"/>
  </r>
  <r>
    <d v="2015-04-17T00:00:00"/>
    <n v="375.55999800000001"/>
    <n v="95.330971000000005"/>
    <n v="223.35000600000001"/>
    <n v="81.650002000000001"/>
    <x v="2"/>
    <s v="Apr"/>
    <x v="0"/>
    <n v="3.7144562984048196E-2"/>
    <n v="4.6474097699374994E-2"/>
    <s v="Normal"/>
  </r>
  <r>
    <d v="2015-04-20T00:00:00"/>
    <n v="389.51001000000002"/>
    <n v="95.734406000000007"/>
    <n v="233.729996"/>
    <n v="81.055717000000001"/>
    <x v="2"/>
    <s v="Apr"/>
    <x v="0"/>
    <n v="4.2873943085570557E-3"/>
    <n v="2.1393488579019953E-4"/>
    <s v="Normal"/>
  </r>
  <r>
    <d v="2015-04-21T00:00:00"/>
    <n v="391.17999300000002"/>
    <n v="95.484665000000007"/>
    <n v="233.779999"/>
    <n v="80.062859000000003"/>
    <x v="2"/>
    <s v="Apr"/>
    <x v="0"/>
    <n v="-3.5278005641767051E-3"/>
    <n v="6.9295705660431146E-3"/>
    <s v="Normal"/>
  </r>
  <r>
    <d v="2015-04-22T00:00:00"/>
    <n v="389.79998799999998"/>
    <n v="95.868926999999999"/>
    <n v="235.39999399999999"/>
    <n v="79.668571"/>
    <x v="2"/>
    <s v="Apr"/>
    <x v="0"/>
    <n v="4.8743459684250345E-4"/>
    <n v="-1.830925280312445E-2"/>
    <s v="Normal"/>
  </r>
  <r>
    <d v="2015-04-23T00:00:00"/>
    <n v="389.98998999999998"/>
    <n v="104.92746"/>
    <n v="231.08999600000001"/>
    <n v="79.865714999999994"/>
    <x v="2"/>
    <s v="Apr"/>
    <x v="0"/>
    <n v="0.14131136032491509"/>
    <n v="-2.1420213274831786E-2"/>
    <s v="Normal"/>
  </r>
  <r>
    <d v="2015-04-24T00:00:00"/>
    <n v="445.10000600000001"/>
    <n v="109.471146"/>
    <n v="226.13999899999999"/>
    <n v="79.771431000000007"/>
    <x v="2"/>
    <s v="Apr"/>
    <x v="0"/>
    <n v="-1.4693345117591393E-2"/>
    <n v="-1.4592774452076547E-3"/>
    <s v="Normal"/>
  </r>
  <r>
    <d v="2015-04-27T00:00:00"/>
    <n v="438.55999800000001"/>
    <n v="105.907295"/>
    <n v="225.80999800000001"/>
    <n v="80.868567999999996"/>
    <x v="2"/>
    <s v="Apr"/>
    <x v="0"/>
    <n v="-2.1091754930188594E-2"/>
    <n v="-1.7271157320501583E-3"/>
    <s v="Normal"/>
  </r>
  <r>
    <d v="2015-04-28T00:00:00"/>
    <n v="429.30999800000001"/>
    <n v="107.386612"/>
    <n v="225.41999799999999"/>
    <n v="80.437140999999997"/>
    <x v="2"/>
    <s v="Apr"/>
    <x v="0"/>
    <n v="1.3975216109458007E-4"/>
    <n v="4.5914320343486151E-2"/>
    <s v="Normal"/>
  </r>
  <r>
    <d v="2015-04-29T00:00:00"/>
    <n v="429.36999500000002"/>
    <n v="105.081154"/>
    <n v="235.770004"/>
    <n v="80.407143000000005"/>
    <x v="2"/>
    <s v="Apr"/>
    <x v="0"/>
    <n v="-1.7677052631495691E-2"/>
    <n v="-1.0858026706399893E-2"/>
    <s v="Normal"/>
  </r>
  <r>
    <d v="2015-04-30T00:00:00"/>
    <n v="421.77999899999998"/>
    <n v="103.60180699999999"/>
    <n v="233.21000699999999"/>
    <n v="79.5"/>
    <x v="2"/>
    <s v="Apr"/>
    <x v="0"/>
    <n v="2.5842761690557121E-3"/>
    <n v="9.1333516404380685E-3"/>
    <s v="Normal"/>
  </r>
  <r>
    <d v="2015-05-01T00:00:00"/>
    <n v="422.86999500000002"/>
    <n v="104.07250999999999"/>
    <n v="235.33999600000001"/>
    <n v="79.575714000000005"/>
    <x v="2"/>
    <s v="May"/>
    <x v="0"/>
    <n v="4.0204791545917217E-4"/>
    <n v="2.039649053108637E-3"/>
    <s v="Normal"/>
  </r>
  <r>
    <d v="2015-05-04T00:00:00"/>
    <n v="423.040009"/>
    <n v="103.67868"/>
    <n v="235.820007"/>
    <n v="79.271431000000007"/>
    <x v="2"/>
    <s v="May"/>
    <x v="0"/>
    <n v="-4.373125379732121E-3"/>
    <n v="-2.4552658078752412E-2"/>
    <s v="Normal"/>
  </r>
  <r>
    <d v="2015-05-05T00:00:00"/>
    <n v="421.19000199999999"/>
    <n v="101.54611199999999"/>
    <n v="230.029999"/>
    <n v="80.792854000000005"/>
    <x v="2"/>
    <s v="May"/>
    <x v="0"/>
    <n v="-4.9621215842630215E-3"/>
    <n v="3.3473881813128194E-2"/>
    <s v="Normal"/>
  </r>
  <r>
    <d v="2015-05-06T00:00:00"/>
    <n v="419.10000600000001"/>
    <n v="101.949562"/>
    <n v="237.729996"/>
    <n v="80.077140999999997"/>
    <x v="2"/>
    <s v="May"/>
    <x v="0"/>
    <n v="1.8563585990499783E-2"/>
    <n v="2.528081900106538E-2"/>
    <s v="Normal"/>
  </r>
  <r>
    <d v="2015-05-07T00:00:00"/>
    <n v="426.88000499999998"/>
    <n v="103.67868"/>
    <n v="243.740005"/>
    <n v="80.748572999999993"/>
    <x v="2"/>
    <s v="May"/>
    <x v="0"/>
    <n v="1.5952953804898896E-2"/>
    <n v="-9.6004387954287777E-3"/>
    <s v="Normal"/>
  </r>
  <r>
    <d v="2015-05-08T00:00:00"/>
    <n v="433.69000199999999"/>
    <n v="104.83139799999999"/>
    <n v="241.39999399999999"/>
    <n v="82.085716000000005"/>
    <x v="2"/>
    <s v="May"/>
    <x v="0"/>
    <n v="-1.9368581155347572E-3"/>
    <n v="7.4568353137579224E-4"/>
    <s v="Normal"/>
  </r>
  <r>
    <d v="2015-05-11T00:00:00"/>
    <n v="432.85000600000001"/>
    <n v="105.51342"/>
    <n v="241.58000200000001"/>
    <n v="84.278571999999997"/>
    <x v="2"/>
    <s v="May"/>
    <x v="0"/>
    <n v="-4.227831753801565E-3"/>
    <n v="-2.1524948079104645E-2"/>
    <s v="Normal"/>
  </r>
  <r>
    <d v="2015-05-12T00:00:00"/>
    <n v="431.01998900000001"/>
    <n v="104.76416"/>
    <n v="236.38000500000001"/>
    <n v="83.377144000000001"/>
    <x v="2"/>
    <s v="May"/>
    <x v="0"/>
    <n v="-9.6283098369249701E-3"/>
    <n v="2.1998011210803601E-3"/>
    <s v="Normal"/>
  </r>
  <r>
    <d v="2015-05-13T00:00:00"/>
    <n v="426.86999500000002"/>
    <n v="104.39913199999999"/>
    <n v="236.89999399999999"/>
    <n v="82.872855999999999"/>
    <x v="2"/>
    <s v="May"/>
    <x v="0"/>
    <n v="1.2673657233743866E-2"/>
    <n v="1.2663698083504543E-3"/>
    <s v="Normal"/>
  </r>
  <r>
    <d v="2015-05-14T00:00:00"/>
    <n v="432.27999899999998"/>
    <n v="105.580681"/>
    <n v="237.199997"/>
    <n v="83.835716000000005"/>
    <x v="2"/>
    <s v="May"/>
    <x v="0"/>
    <n v="-1.452761870668917E-2"/>
    <n v="-4.0893803215351493E-3"/>
    <s v="Normal"/>
  </r>
  <r>
    <d v="2015-05-15T00:00:00"/>
    <n v="426"/>
    <n v="105.993752"/>
    <n v="236.229996"/>
    <n v="87.607140000000001"/>
    <x v="2"/>
    <s v="May"/>
    <x v="0"/>
    <n v="-1.7840610328639026E-3"/>
    <n v="-1.782158096467986E-2"/>
    <s v="Normal"/>
  </r>
  <r>
    <d v="2015-05-18T00:00:00"/>
    <n v="425.23998999999998"/>
    <n v="106.714172"/>
    <n v="232.020004"/>
    <n v="88.267143000000004"/>
    <x v="2"/>
    <s v="May"/>
    <x v="0"/>
    <n v="-8.301192463107657E-3"/>
    <n v="8.3613609454122328E-3"/>
    <s v="Normal"/>
  </r>
  <r>
    <d v="2015-05-19T00:00:00"/>
    <n v="421.709991"/>
    <n v="106.195465"/>
    <n v="233.96000699999999"/>
    <n v="88.068573000000001"/>
    <x v="2"/>
    <s v="May"/>
    <x v="0"/>
    <n v="5.0982761752969528E-3"/>
    <n v="6.0694048449059113E-3"/>
    <s v="Normal"/>
  </r>
  <r>
    <d v="2015-05-20T00:00:00"/>
    <n v="423.85998499999999"/>
    <n v="106.06098900000001"/>
    <n v="235.38000500000001"/>
    <n v="88.790001000000004"/>
    <x v="2"/>
    <s v="May"/>
    <x v="0"/>
    <n v="1.8331572394124414E-2"/>
    <n v="2.1199719152015385E-2"/>
    <s v="Normal"/>
  </r>
  <r>
    <d v="2015-05-21T00:00:00"/>
    <n v="431.63000499999998"/>
    <n v="105.734375"/>
    <n v="240.36999499999999"/>
    <n v="89.002853000000002"/>
    <x v="2"/>
    <s v="May"/>
    <x v="0"/>
    <n v="-9.267196334045406E-3"/>
    <n v="-5.9491327110107739E-3"/>
    <s v="Normal"/>
  </r>
  <r>
    <d v="2015-05-22T00:00:00"/>
    <n v="427.63000499999998"/>
    <n v="104.735344"/>
    <n v="238.94000199999999"/>
    <n v="88.838570000000004"/>
    <x v="2"/>
    <s v="May"/>
    <x v="0"/>
    <n v="-5.0511048680972658E-3"/>
    <n v="-6.90553689708257E-3"/>
    <s v="Normal"/>
  </r>
  <r>
    <d v="2015-05-26T00:00:00"/>
    <n v="425.47000100000002"/>
    <n v="104.283852"/>
    <n v="237.28999300000001"/>
    <n v="87.992858999999996"/>
    <x v="2"/>
    <s v="May"/>
    <x v="0"/>
    <n v="1.398456292104119E-2"/>
    <n v="1.264865813367621E-4"/>
    <s v="Normal"/>
  </r>
  <r>
    <d v="2015-05-27T00:00:00"/>
    <n v="431.42001299999998"/>
    <n v="104.37030799999999"/>
    <n v="237.320007"/>
    <n v="89.857140000000001"/>
    <x v="2"/>
    <s v="May"/>
    <x v="0"/>
    <n v="-1.1241958773015957E-2"/>
    <n v="-1.2220124365662952E-3"/>
    <s v="Normal"/>
  </r>
  <r>
    <d v="2015-05-28T00:00:00"/>
    <n v="426.57000699999998"/>
    <n v="104.908241"/>
    <n v="237.029999"/>
    <n v="89.507141000000004"/>
    <x v="2"/>
    <s v="May"/>
    <x v="0"/>
    <n v="6.2357970704677674E-3"/>
    <n v="-1.6073906324405828E-2"/>
    <s v="Normal"/>
  </r>
  <r>
    <d v="2015-05-29T00:00:00"/>
    <n v="429.23001099999999"/>
    <n v="104.379921"/>
    <n v="233.220001"/>
    <n v="89.151427999999996"/>
    <x v="2"/>
    <s v="May"/>
    <x v="0"/>
    <n v="3.9372876003304271E-3"/>
    <n v="-3.2072703747222778E-2"/>
    <s v="Normal"/>
  </r>
  <r>
    <d v="2015-06-01T00:00:00"/>
    <n v="430.92001299999998"/>
    <n v="104.75456200000001"/>
    <n v="225.740005"/>
    <n v="89.002853000000002"/>
    <x v="2"/>
    <s v="Jun"/>
    <x v="0"/>
    <n v="1.6238976582411458E-4"/>
    <n v="-6.6452111578531672E-4"/>
    <s v="Normal"/>
  </r>
  <r>
    <d v="2015-06-02T00:00:00"/>
    <n v="430.98998999999998"/>
    <n v="104.581627"/>
    <n v="225.58999600000001"/>
    <n v="89.129997000000003"/>
    <x v="2"/>
    <s v="Jun"/>
    <x v="0"/>
    <n v="1.2993355135695861E-2"/>
    <n v="-6.0729421707158377E-3"/>
    <s v="Normal"/>
  </r>
  <r>
    <d v="2015-06-03T00:00:00"/>
    <n v="436.58999599999999"/>
    <n v="104.696907"/>
    <n v="224.220001"/>
    <n v="88.808571000000001"/>
    <x v="2"/>
    <s v="Jun"/>
    <x v="0"/>
    <n v="-1.3307673224834978E-2"/>
    <n v="4.7720631309782812E-3"/>
    <s v="Normal"/>
  </r>
  <r>
    <d v="2015-06-04T00:00:00"/>
    <n v="430.77999899999998"/>
    <n v="104.735344"/>
    <n v="225.28999300000001"/>
    <n v="89.348572000000004"/>
    <x v="2"/>
    <s v="Jun"/>
    <x v="0"/>
    <n v="-8.8908190001643055E-3"/>
    <n v="-2.4412446938999782E-3"/>
    <s v="Normal"/>
  </r>
  <r>
    <d v="2015-06-05T00:00:00"/>
    <n v="426.95001200000002"/>
    <n v="105.667152"/>
    <n v="224.740005"/>
    <n v="90.459998999999996"/>
    <x v="2"/>
    <s v="Jun"/>
    <x v="0"/>
    <n v="-8.0805993747109089E-3"/>
    <n v="2.1446973804241088E-2"/>
    <s v="Normal"/>
  </r>
  <r>
    <d v="2015-06-08T00:00:00"/>
    <n v="423.5"/>
    <n v="105.54222900000001"/>
    <n v="229.55999800000001"/>
    <n v="89.604286000000002"/>
    <x v="2"/>
    <s v="Jun"/>
    <x v="0"/>
    <n v="4.6753506493506271E-3"/>
    <n v="-3.3542647094812988E-3"/>
    <s v="Normal"/>
  </r>
  <r>
    <d v="2015-06-09T00:00:00"/>
    <n v="425.48001099999999"/>
    <n v="106.08019299999999"/>
    <n v="228.78999300000001"/>
    <n v="92.449996999999996"/>
    <x v="2"/>
    <s v="Jun"/>
    <x v="0"/>
    <n v="1.2432964800313544E-2"/>
    <n v="4.7642468348692221E-3"/>
    <s v="Normal"/>
  </r>
  <r>
    <d v="2015-06-10T00:00:00"/>
    <n v="430.76998900000001"/>
    <n v="107.962975"/>
    <n v="229.88000500000001"/>
    <n v="95.871429000000006"/>
    <x v="2"/>
    <s v="Jun"/>
    <x v="0"/>
    <n v="5.1071617247691204E-3"/>
    <n v="2.5230641525346193E-3"/>
    <s v="Normal"/>
  </r>
  <r>
    <d v="2015-06-11T00:00:00"/>
    <n v="432.97000100000002"/>
    <n v="107.81849699999999"/>
    <n v="230.46000699999999"/>
    <n v="95.094284000000002"/>
    <x v="2"/>
    <s v="Jun"/>
    <x v="0"/>
    <n v="-7.0443402382513827E-3"/>
    <n v="8.7650305417200196E-3"/>
    <s v="Normal"/>
  </r>
  <r>
    <d v="2015-06-12T00:00:00"/>
    <n v="429.92001299999998"/>
    <n v="108.165268"/>
    <n v="232.479996"/>
    <n v="94.418571"/>
    <x v="2"/>
    <s v="Jun"/>
    <x v="0"/>
    <n v="-1.4537587948947146E-2"/>
    <n v="7.4587109851808511E-2"/>
    <s v="High Volatility"/>
  </r>
  <r>
    <d v="2015-06-15T00:00:00"/>
    <n v="423.67001299999998"/>
    <n v="106.739639"/>
    <n v="249.820007"/>
    <n v="93.431426999999999"/>
    <x v="2"/>
    <s v="Jun"/>
    <x v="0"/>
    <n v="8.4735687913792459E-3"/>
    <n v="-9.7670399953194813E-3"/>
    <s v="Normal"/>
  </r>
  <r>
    <d v="2015-06-16T00:00:00"/>
    <n v="427.26001000000002"/>
    <n v="106.69149"/>
    <n v="247.38000500000001"/>
    <n v="95.272857999999999"/>
    <x v="2"/>
    <s v="Jun"/>
    <x v="0"/>
    <n v="1.2872442707661427E-3"/>
    <n v="4.2848935992218992E-3"/>
    <s v="Normal"/>
  </r>
  <r>
    <d v="2015-06-17T00:00:00"/>
    <n v="427.80999800000001"/>
    <n v="106.845581"/>
    <n v="248.44000199999999"/>
    <n v="94.271431000000007"/>
    <x v="2"/>
    <s v="Jun"/>
    <x v="0"/>
    <n v="2.706813083877483E-2"/>
    <n v="-1.7348240884332233E-2"/>
    <s v="Normal"/>
  </r>
  <r>
    <d v="2015-06-18T00:00:00"/>
    <n v="439.39001500000001"/>
    <n v="108.43499"/>
    <n v="244.13000500000001"/>
    <n v="94.742858999999996"/>
    <x v="2"/>
    <s v="Jun"/>
    <x v="0"/>
    <n v="-1.0173198860697875E-2"/>
    <n v="3.4817145889133481E-3"/>
    <s v="Normal"/>
  </r>
  <r>
    <d v="2015-06-19T00:00:00"/>
    <n v="434.92001299999998"/>
    <n v="107.79924800000001"/>
    <n v="244.979996"/>
    <n v="93.871429000000006"/>
    <x v="2"/>
    <s v="Jun"/>
    <x v="0"/>
    <n v="3.1499953072980681E-3"/>
    <n v="-4.9800025304923114E-3"/>
    <s v="Normal"/>
  </r>
  <r>
    <d v="2015-06-22T00:00:00"/>
    <n v="436.290009"/>
    <n v="109.67759700000001"/>
    <n v="243.759995"/>
    <n v="96.414283999999995"/>
    <x v="2"/>
    <s v="Jun"/>
    <x v="0"/>
    <n v="2.223287446401272E-2"/>
    <n v="-1.3127654519356206E-2"/>
    <s v="Normal"/>
  </r>
  <r>
    <d v="2015-06-23T00:00:00"/>
    <n v="445.98998999999998"/>
    <n v="109.44641900000001"/>
    <n v="240.55999800000001"/>
    <n v="97.312859000000003"/>
    <x v="2"/>
    <s v="Jun"/>
    <x v="0"/>
    <n v="-1.1547330916552618E-2"/>
    <n v="8.3139342227630045E-3"/>
    <s v="Normal"/>
  </r>
  <r>
    <d v="2015-06-24T00:00:00"/>
    <n v="440.83999599999999"/>
    <n v="107.53913900000001"/>
    <n v="242.55999800000001"/>
    <n v="96.944282999999999"/>
    <x v="2"/>
    <s v="Jun"/>
    <x v="0"/>
    <n v="-1.6785908872024794E-3"/>
    <n v="1.6078454947875984E-3"/>
    <s v="Normal"/>
  </r>
  <r>
    <d v="2015-06-25T00:00:00"/>
    <n v="440.10000600000001"/>
    <n v="107.616219"/>
    <n v="242.949997"/>
    <n v="94.891425999999996"/>
    <x v="2"/>
    <s v="Jun"/>
    <x v="0"/>
    <n v="-4.544421660380527E-3"/>
    <n v="3.2023046289644544E-2"/>
    <s v="Normal"/>
  </r>
  <r>
    <d v="2015-06-26T00:00:00"/>
    <n v="438.10000600000001"/>
    <n v="110.679413"/>
    <n v="250.729996"/>
    <n v="93.088570000000004"/>
    <x v="2"/>
    <s v="Jun"/>
    <x v="0"/>
    <n v="-1.8808538888721249E-2"/>
    <n v="5.3404057008001618E-2"/>
    <s v="High Volatility"/>
  </r>
  <r>
    <d v="2015-06-29T00:00:00"/>
    <n v="429.85998499999999"/>
    <n v="109.81246899999999"/>
    <n v="264.11999500000002"/>
    <n v="92.231430000000003"/>
    <x v="2"/>
    <s v="Jun"/>
    <x v="0"/>
    <n v="9.840439090882093E-3"/>
    <n v="-2.46100262117603E-2"/>
    <s v="Normal"/>
  </r>
  <r>
    <d v="2015-06-30T00:00:00"/>
    <n v="434.08999599999999"/>
    <n v="109.234497"/>
    <n v="257.61999500000002"/>
    <n v="93.848572000000004"/>
    <x v="2"/>
    <s v="Jun"/>
    <x v="0"/>
    <n v="7.6021540012638769E-3"/>
    <n v="-1.0635781589856818E-2"/>
    <s v="Normal"/>
  </r>
  <r>
    <d v="2015-07-01T00:00:00"/>
    <n v="437.39001500000001"/>
    <n v="110.34227799999999"/>
    <n v="254.88000500000001"/>
    <n v="93.635711999999998"/>
    <x v="2"/>
    <s v="Jul"/>
    <x v="1"/>
    <n v="7.3155762369197413E-4"/>
    <n v="2.0401325714034771E-3"/>
    <s v="Normal"/>
  </r>
  <r>
    <d v="2015-07-02T00:00:00"/>
    <n v="437.709991"/>
    <n v="109.696877"/>
    <n v="255.39999399999999"/>
    <n v="94.044289000000006"/>
    <x v="2"/>
    <s v="Jul"/>
    <x v="1"/>
    <n v="-3.8152704629490727E-3"/>
    <n v="4.2325752756282406E-2"/>
    <s v="Normal"/>
  </r>
  <r>
    <d v="2015-07-06T00:00:00"/>
    <n v="436.040009"/>
    <n v="108.974403"/>
    <n v="266.209991"/>
    <n v="94.571426000000002"/>
    <x v="2"/>
    <s v="Jul"/>
    <x v="1"/>
    <n v="1.5594715759214357E-3"/>
    <n v="9.1282223889185398E-3"/>
    <s v="Normal"/>
  </r>
  <r>
    <d v="2015-07-07T00:00:00"/>
    <n v="436.72000100000002"/>
    <n v="109.253754"/>
    <n v="268.64001500000001"/>
    <n v="94.091431"/>
    <x v="2"/>
    <s v="Jul"/>
    <x v="1"/>
    <n v="-1.6074347371143209E-2"/>
    <n v="1.8612268168612185E-3"/>
    <s v="Normal"/>
  </r>
  <r>
    <d v="2015-07-08T00:00:00"/>
    <n v="429.70001200000002"/>
    <n v="109.08039100000001"/>
    <n v="269.14001500000001"/>
    <n v="93.507141000000004"/>
    <x v="2"/>
    <s v="Jul"/>
    <x v="1"/>
    <n v="1.0914598252326765E-2"/>
    <n v="5.3800918455027998E-2"/>
    <s v="High Volatility"/>
  </r>
  <r>
    <d v="2015-07-09T00:00:00"/>
    <n v="434.39001500000001"/>
    <n v="109.51385500000001"/>
    <n v="283.61999500000002"/>
    <n v="95.727142000000001"/>
    <x v="2"/>
    <s v="Jul"/>
    <x v="1"/>
    <n v="2.0994946212103925E-2"/>
    <n v="2.9440822745942178E-2"/>
    <s v="Normal"/>
  </r>
  <r>
    <d v="2015-07-10T00:00:00"/>
    <n v="443.51001000000002"/>
    <n v="111.661919"/>
    <n v="291.97000100000002"/>
    <n v="97.228568999999993"/>
    <x v="2"/>
    <s v="Jul"/>
    <x v="1"/>
    <n v="2.7192164163329601E-2"/>
    <n v="-1.7159331379390658E-2"/>
    <s v="Normal"/>
  </r>
  <r>
    <d v="2015-07-13T00:00:00"/>
    <n v="455.57000699999998"/>
    <n v="115.043015"/>
    <n v="286.959991"/>
    <n v="101.087143"/>
    <x v="2"/>
    <s v="Jul"/>
    <x v="1"/>
    <n v="2.1950523182708119E-2"/>
    <n v="-1.2336137827659811E-2"/>
    <s v="Normal"/>
  </r>
  <r>
    <d v="2015-07-14T00:00:00"/>
    <n v="465.57000699999998"/>
    <n v="114.426514"/>
    <n v="283.42001299999998"/>
    <n v="100.37142900000001"/>
    <x v="2"/>
    <s v="Jul"/>
    <x v="1"/>
    <n v="-9.4078332670600555E-3"/>
    <n v="-2.4098569919972442E-2"/>
    <s v="Normal"/>
  </r>
  <r>
    <d v="2015-07-15T00:00:00"/>
    <n v="461.19000199999999"/>
    <n v="114.18570699999999"/>
    <n v="276.58999599999999"/>
    <n v="98.129997000000003"/>
    <x v="2"/>
    <s v="Jul"/>
    <x v="1"/>
    <n v="3.0985079767622537E-2"/>
    <n v="1.0954839451243321E-2"/>
    <s v="Normal"/>
  </r>
  <r>
    <d v="2015-07-16T00:00:00"/>
    <n v="475.48001099999999"/>
    <n v="111.324799"/>
    <n v="279.61999500000002"/>
    <n v="115.80999799999999"/>
    <x v="2"/>
    <s v="Jul"/>
    <x v="1"/>
    <n v="1.5836625779837531E-2"/>
    <n v="-1.9919916671195248E-2"/>
    <s v="Normal"/>
  </r>
  <r>
    <d v="2015-07-17T00:00:00"/>
    <n v="483.01001000000002"/>
    <n v="105.997917"/>
    <n v="274.04998799999998"/>
    <n v="114.769997"/>
    <x v="2"/>
    <s v="Jul"/>
    <x v="1"/>
    <n v="1.0538075598060555E-2"/>
    <n v="3.794957290784484E-3"/>
    <s v="Normal"/>
  </r>
  <r>
    <d v="2015-07-20T00:00:00"/>
    <n v="488.10000600000001"/>
    <n v="106.96120500000001"/>
    <n v="275.08999599999999"/>
    <n v="110.550003"/>
    <x v="2"/>
    <s v="Jul"/>
    <x v="1"/>
    <n v="-2.048883400341683E-4"/>
    <n v="4.9801701985557386E-3"/>
    <s v="Normal"/>
  </r>
  <r>
    <d v="2015-07-21T00:00:00"/>
    <n v="488"/>
    <n v="107.279076"/>
    <n v="276.459991"/>
    <n v="112.510002"/>
    <x v="2"/>
    <s v="Jul"/>
    <x v="1"/>
    <n v="5.5325614754100319E-4"/>
    <n v="-3.4001375627621742E-3"/>
    <s v="Normal"/>
  </r>
  <r>
    <d v="2015-07-22T00:00:00"/>
    <n v="488.26998900000001"/>
    <n v="108.18454699999999"/>
    <n v="275.51998900000001"/>
    <n v="111.5"/>
    <x v="2"/>
    <s v="Jul"/>
    <x v="1"/>
    <n v="-1.2472599457674195E-2"/>
    <n v="4.6639106101299996E-2"/>
    <s v="Normal"/>
  </r>
  <r>
    <d v="2015-07-23T00:00:00"/>
    <n v="482.17999300000002"/>
    <n v="107.54879"/>
    <n v="288.36999500000002"/>
    <n v="110.099998"/>
    <x v="2"/>
    <s v="Jul"/>
    <x v="1"/>
    <n v="9.7971692492019216E-2"/>
    <n v="1.2830565121727047E-3"/>
    <s v="Normal"/>
  </r>
  <r>
    <d v="2015-07-24T00:00:00"/>
    <n v="529.419983"/>
    <n v="106.88414"/>
    <n v="288.73998999999998"/>
    <n v="109.339996"/>
    <x v="2"/>
    <s v="Jul"/>
    <x v="1"/>
    <n v="3.7588116502962343E-3"/>
    <n v="1.7178160877542589E-2"/>
    <s v="Normal"/>
  </r>
  <r>
    <d v="2015-07-27T00:00:00"/>
    <n v="531.40997300000004"/>
    <n v="107.22127500000001"/>
    <n v="293.70001200000002"/>
    <n v="106.43"/>
    <x v="2"/>
    <s v="Jul"/>
    <x v="1"/>
    <n v="-1.0123904844367726E-2"/>
    <n v="-1.8147826973871548E-2"/>
    <s v="Normal"/>
  </r>
  <r>
    <d v="2015-07-28T00:00:00"/>
    <n v="526.03002900000001"/>
    <n v="107.66437500000001"/>
    <n v="288.36999500000002"/>
    <n v="106.900002"/>
    <x v="2"/>
    <s v="Jul"/>
    <x v="1"/>
    <n v="5.6460103725370905E-3"/>
    <n v="-4.681506479202205E-3"/>
    <s v="Normal"/>
  </r>
  <r>
    <d v="2015-07-29T00:00:00"/>
    <n v="529"/>
    <n v="109.34045399999999"/>
    <n v="287.01998900000001"/>
    <n v="107.08000199999999"/>
    <x v="2"/>
    <s v="Jul"/>
    <x v="1"/>
    <n v="1.4669206049149274E-2"/>
    <n v="-1.1462539635175092E-2"/>
    <s v="Normal"/>
  </r>
  <r>
    <d v="2015-07-30T00:00:00"/>
    <n v="536.76000999999997"/>
    <n v="109.658348"/>
    <n v="283.73001099999999"/>
    <n v="111.55999799999999"/>
    <x v="2"/>
    <s v="Jul"/>
    <x v="1"/>
    <n v="-1.1364222159544548E-3"/>
    <n v="-1.1489831436971134E-2"/>
    <s v="Normal"/>
  </r>
  <r>
    <d v="2015-07-31T00:00:00"/>
    <n v="536.15002400000003"/>
    <n v="109.658348"/>
    <n v="280.47000100000002"/>
    <n v="114.30999799999999"/>
    <x v="2"/>
    <s v="Jul"/>
    <x v="1"/>
    <n v="-2.0889582203954486E-3"/>
    <n v="1.365560304611672E-2"/>
    <s v="Normal"/>
  </r>
  <r>
    <d v="2015-08-03T00:00:00"/>
    <n v="535.03002900000001"/>
    <n v="110.072525"/>
    <n v="284.29998799999998"/>
    <n v="112.55999799999999"/>
    <x v="2"/>
    <s v="Aug"/>
    <x v="1"/>
    <n v="-5.850148272705611E-3"/>
    <n v="-9.074875514943603E-3"/>
    <s v="Normal"/>
  </r>
  <r>
    <d v="2015-08-04T00:00:00"/>
    <n v="531.90002400000003"/>
    <n v="110.997292"/>
    <n v="281.72000100000002"/>
    <n v="121.150002"/>
    <x v="2"/>
    <s v="Aug"/>
    <x v="1"/>
    <n v="9.6070422437129557E-3"/>
    <n v="-1.3204603815119341E-2"/>
    <s v="Normal"/>
  </r>
  <r>
    <d v="2015-08-05T00:00:00"/>
    <n v="537.01000999999997"/>
    <n v="110.197784"/>
    <n v="278"/>
    <n v="123.709999"/>
    <x v="2"/>
    <s v="Aug"/>
    <x v="1"/>
    <n v="-1.4059305896364921E-2"/>
    <n v="-3.9562949640285853E-4"/>
    <s v="Normal"/>
  </r>
  <r>
    <d v="2015-08-06T00:00:00"/>
    <n v="529.46002199999998"/>
    <n v="107.731804"/>
    <n v="277.89001500000001"/>
    <n v="126.449997"/>
    <x v="2"/>
    <s v="Aug"/>
    <x v="1"/>
    <n v="-1.2918873410238259E-2"/>
    <n v="-6.9415984593760943E-2"/>
    <s v="High Volatility"/>
  </r>
  <r>
    <d v="2015-08-07T00:00:00"/>
    <n v="522.61999500000002"/>
    <n v="109.263397"/>
    <n v="258.60000600000001"/>
    <n v="123.519997"/>
    <x v="2"/>
    <s v="Aug"/>
    <x v="1"/>
    <n v="2.640551477560637E-3"/>
    <n v="4.0332531933506478E-2"/>
    <s v="Normal"/>
  </r>
  <r>
    <d v="2015-08-10T00:00:00"/>
    <n v="524"/>
    <n v="108.98407"/>
    <n v="269.02999899999998"/>
    <n v="123.029999"/>
    <x v="2"/>
    <s v="Aug"/>
    <x v="1"/>
    <n v="6.6030954198472913E-3"/>
    <n v="-5.0923503144344896E-3"/>
    <s v="Normal"/>
  </r>
  <r>
    <d v="2015-08-11T00:00:00"/>
    <n v="527.46002199999998"/>
    <n v="109.321198"/>
    <n v="267.66000400000001"/>
    <n v="122.739998"/>
    <x v="2"/>
    <s v="Aug"/>
    <x v="1"/>
    <n v="-2.9387042341570005E-3"/>
    <n v="-1.5766277878408841E-2"/>
    <s v="Normal"/>
  </r>
  <r>
    <d v="2015-08-12T00:00:00"/>
    <n v="525.90997300000004"/>
    <n v="107.770348"/>
    <n v="263.44000199999999"/>
    <n v="120.510002"/>
    <x v="2"/>
    <s v="Aug"/>
    <x v="1"/>
    <n v="7.1304979797369231E-3"/>
    <n v="6.0355184783212334E-3"/>
    <s v="Normal"/>
  </r>
  <r>
    <d v="2015-08-13T00:00:00"/>
    <n v="529.65997300000004"/>
    <n v="110.00511899999999"/>
    <n v="265.02999899999998"/>
    <n v="123.730003"/>
    <x v="2"/>
    <s v="Aug"/>
    <x v="1"/>
    <n v="3.5117756576255547E-3"/>
    <n v="-1.7016979274108387E-2"/>
    <s v="Normal"/>
  </r>
  <r>
    <d v="2015-08-14T00:00:00"/>
    <n v="531.52002000000005"/>
    <n v="109.976204"/>
    <n v="260.51998900000001"/>
    <n v="123.389999"/>
    <x v="2"/>
    <s v="Aug"/>
    <x v="1"/>
    <n v="6.9610755207300404E-3"/>
    <n v="-5.2970937289575935E-2"/>
    <s v="High Volatility"/>
  </r>
  <r>
    <d v="2015-08-17T00:00:00"/>
    <n v="535.21997099999999"/>
    <n v="110.766098"/>
    <n v="246.720001"/>
    <n v="125.360001"/>
    <x v="2"/>
    <s v="Aug"/>
    <x v="1"/>
    <n v="-3.7358658277708741E-4"/>
    <n v="-8.3981845476727268E-2"/>
    <s v="High Volatility"/>
  </r>
  <r>
    <d v="2015-08-18T00:00:00"/>
    <n v="535.02002000000005"/>
    <n v="108.752861"/>
    <n v="226"/>
    <n v="124.050003"/>
    <x v="2"/>
    <s v="Aug"/>
    <x v="1"/>
    <n v="-3.9251559222027669E-3"/>
    <n v="3.8318601769911448E-2"/>
    <s v="Normal"/>
  </r>
  <r>
    <d v="2015-08-19T00:00:00"/>
    <n v="532.919983"/>
    <n v="106.46993999999999"/>
    <n v="234.66000399999999"/>
    <n v="122.05999799999999"/>
    <x v="2"/>
    <s v="Aug"/>
    <x v="1"/>
    <n v="-3.2162340589131165E-2"/>
    <n v="-9.6309978755476124E-3"/>
    <s v="Normal"/>
  </r>
  <r>
    <d v="2015-08-20T00:00:00"/>
    <n v="515.78002900000001"/>
    <n v="103.70534499999999"/>
    <n v="232.39999399999999"/>
    <n v="112.489998"/>
    <x v="2"/>
    <s v="Aug"/>
    <x v="1"/>
    <n v="-4.1316116952639877E-2"/>
    <n v="-1.2306372951111104E-2"/>
    <s v="Normal"/>
  </r>
  <r>
    <d v="2015-08-21T00:00:00"/>
    <n v="494.47000100000002"/>
    <n v="100.64215900000001"/>
    <n v="229.53999300000001"/>
    <n v="103.959999"/>
    <x v="2"/>
    <s v="Aug"/>
    <x v="1"/>
    <n v="-6.2895637626356235E-2"/>
    <n v="-3.9339541149153931E-2"/>
    <s v="Normal"/>
  </r>
  <r>
    <d v="2015-08-24T00:00:00"/>
    <n v="463.36999500000002"/>
    <n v="98.041336000000001"/>
    <n v="220.509995"/>
    <n v="96.879997000000003"/>
    <x v="2"/>
    <s v="Aug"/>
    <x v="1"/>
    <n v="6.4743078584533721E-3"/>
    <n v="2.0225867766220724E-2"/>
    <s v="Normal"/>
  </r>
  <r>
    <d v="2015-08-25T00:00:00"/>
    <n v="466.36999500000002"/>
    <n v="101.16231500000001"/>
    <n v="224.970001"/>
    <n v="101.519997"/>
    <x v="2"/>
    <s v="Aug"/>
    <x v="1"/>
    <n v="7.3761164673554938E-2"/>
    <n v="-9.9569053209009693E-3"/>
    <s v="Normal"/>
  </r>
  <r>
    <d v="2015-08-26T00:00:00"/>
    <n v="500.76998900000001"/>
    <n v="102.395302"/>
    <n v="222.729996"/>
    <n v="110.129997"/>
    <x v="2"/>
    <s v="Aug"/>
    <x v="1"/>
    <n v="3.5145888105527039E-2"/>
    <n v="4.0003605980399648E-2"/>
    <s v="Normal"/>
  </r>
  <r>
    <d v="2015-08-27T00:00:00"/>
    <n v="518.36999500000002"/>
    <n v="103.84021"/>
    <n v="231.63999899999999"/>
    <n v="117.660004"/>
    <x v="2"/>
    <s v="Aug"/>
    <x v="1"/>
    <n v="-6.9445570436624422E-4"/>
    <n v="-1.3555512923309886E-2"/>
    <s v="Normal"/>
  </r>
  <r>
    <d v="2015-08-28T00:00:00"/>
    <n v="518.01000999999997"/>
    <n v="104.427826"/>
    <n v="228.5"/>
    <n v="117.629997"/>
    <x v="2"/>
    <s v="Aug"/>
    <x v="1"/>
    <n v="-9.8839692306332411E-3"/>
    <n v="-5.7768358862144596E-3"/>
    <s v="Normal"/>
  </r>
  <r>
    <d v="2015-08-31T00:00:00"/>
    <n v="512.89001499999995"/>
    <n v="102.04853799999999"/>
    <n v="227.179993"/>
    <n v="115.029999"/>
    <x v="2"/>
    <s v="Aug"/>
    <x v="1"/>
    <n v="-3.1878191272645372E-2"/>
    <n v="6.382657120691148E-3"/>
    <s v="Normal"/>
  </r>
  <r>
    <d v="2015-09-01T00:00:00"/>
    <n v="496.540009"/>
    <n v="100.035301"/>
    <n v="228.63000500000001"/>
    <n v="105.790001"/>
    <x v="2"/>
    <s v="Sep"/>
    <x v="1"/>
    <n v="2.821520672264697E-2"/>
    <n v="-1.0628561198693124E-2"/>
    <s v="Normal"/>
  </r>
  <r>
    <d v="2015-09-02T00:00:00"/>
    <n v="510.54998799999998"/>
    <n v="101.316452"/>
    <n v="226.199997"/>
    <n v="105.44000200000001"/>
    <x v="2"/>
    <s v="Sep"/>
    <x v="1"/>
    <n v="-1.1419032684415537E-2"/>
    <n v="1.790452278387963E-2"/>
    <s v="Normal"/>
  </r>
  <r>
    <d v="2015-09-03T00:00:00"/>
    <n v="504.72000100000002"/>
    <n v="101.28756"/>
    <n v="230.25"/>
    <n v="101.05999799999999"/>
    <x v="2"/>
    <s v="Sep"/>
    <x v="1"/>
    <n v="-1.1333018284726198E-2"/>
    <n v="1.4853411509229066E-2"/>
    <s v="Normal"/>
  </r>
  <r>
    <d v="2015-09-04T00:00:00"/>
    <n v="499"/>
    <n v="101.624702"/>
    <n v="233.66999799999999"/>
    <n v="98.790001000000004"/>
    <x v="2"/>
    <s v="Sep"/>
    <x v="1"/>
    <n v="3.7154264529058158E-2"/>
    <n v="1.6005503624817057E-2"/>
    <s v="Normal"/>
  </r>
  <r>
    <d v="2015-09-08T00:00:00"/>
    <n v="517.53997800000002"/>
    <n v="104.99612399999999"/>
    <n v="237.41000399999999"/>
    <n v="94.949996999999996"/>
    <x v="2"/>
    <s v="Sep"/>
    <x v="1"/>
    <n v="-1.2558701310608138E-3"/>
    <n v="2.8221135955164762E-3"/>
    <s v="Normal"/>
  </r>
  <r>
    <d v="2015-09-09T00:00:00"/>
    <n v="516.89001499999995"/>
    <n v="104.206245"/>
    <n v="238.08000200000001"/>
    <n v="99.18"/>
    <x v="2"/>
    <s v="Sep"/>
    <x v="1"/>
    <n v="1.0350316014520199E-2"/>
    <n v="7.6444555809436904E-3"/>
    <s v="Normal"/>
  </r>
  <r>
    <d v="2015-09-10T00:00:00"/>
    <n v="522.23999000000003"/>
    <n v="103.965439"/>
    <n v="239.89999399999999"/>
    <n v="99.480002999999996"/>
    <x v="2"/>
    <s v="Sep"/>
    <x v="1"/>
    <n v="1.3786787947816893E-2"/>
    <n v="-1.7924085483720292E-2"/>
    <s v="Normal"/>
  </r>
  <r>
    <d v="2015-09-11T00:00:00"/>
    <n v="529.44000200000005"/>
    <n v="106.477127"/>
    <n v="235.60000600000001"/>
    <n v="97.510002"/>
    <x v="2"/>
    <s v="Sep"/>
    <x v="1"/>
    <n v="-1.5223626793504103E-2"/>
    <n v="-2.5764035846416761E-2"/>
    <s v="Normal"/>
  </r>
  <r>
    <d v="2015-09-14T00:00:00"/>
    <n v="521.38000499999998"/>
    <n v="106.544769"/>
    <n v="229.529999"/>
    <n v="95.690002000000007"/>
    <x v="2"/>
    <s v="Sep"/>
    <x v="1"/>
    <n v="1.8987878140820425E-3"/>
    <n v="-4.05172746068803E-3"/>
    <s v="Normal"/>
  </r>
  <r>
    <d v="2015-09-15T00:00:00"/>
    <n v="522.36999500000002"/>
    <n v="108.02282"/>
    <n v="228.60000600000001"/>
    <n v="99.160004000000001"/>
    <x v="2"/>
    <s v="Sep"/>
    <x v="1"/>
    <n v="9.6100848977742903E-3"/>
    <n v="1.8022724811302012E-2"/>
    <s v="Normal"/>
  </r>
  <r>
    <d v="2015-09-16T00:00:00"/>
    <n v="527.39001499999995"/>
    <n v="107.82959700000001"/>
    <n v="232.720001"/>
    <n v="104.08000199999999"/>
    <x v="2"/>
    <s v="Sep"/>
    <x v="1"/>
    <n v="2.1767533843051749E-2"/>
    <n v="-2.1914489421130849E-3"/>
    <s v="Normal"/>
  </r>
  <r>
    <d v="2015-09-17T00:00:00"/>
    <n v="538.86999500000002"/>
    <n v="108.776337"/>
    <n v="232.21000699999999"/>
    <n v="104.209999"/>
    <x v="2"/>
    <s v="Sep"/>
    <x v="1"/>
    <n v="2.5794997177379462E-3"/>
    <n v="-4.737117121743936E-3"/>
    <s v="Normal"/>
  </r>
  <r>
    <d v="2015-09-18T00:00:00"/>
    <n v="540.26000999999997"/>
    <n v="107.887558"/>
    <n v="231.11000100000001"/>
    <n v="102.620003"/>
    <x v="2"/>
    <s v="Sep"/>
    <x v="1"/>
    <n v="1.5048319049192597E-2"/>
    <n v="-4.7596642085601807E-3"/>
    <s v="Normal"/>
  </r>
  <r>
    <d v="2015-09-21T00:00:00"/>
    <n v="548.39001499999995"/>
    <n v="107.25962800000001"/>
    <n v="230.009995"/>
    <n v="100.300003"/>
    <x v="2"/>
    <s v="Sep"/>
    <x v="1"/>
    <n v="-1.8216945470825027E-2"/>
    <n v="-5.2169906790361278E-4"/>
    <s v="Normal"/>
  </r>
  <r>
    <d v="2015-09-22T00:00:00"/>
    <n v="538.40002400000003"/>
    <n v="107.10507200000001"/>
    <n v="229.88999899999999"/>
    <n v="98.470000999999996"/>
    <x v="2"/>
    <s v="Sep"/>
    <x v="1"/>
    <n v="-4.3276688264040604E-3"/>
    <n v="1.6834120739632589E-2"/>
    <s v="Normal"/>
  </r>
  <r>
    <d v="2015-09-23T00:00:00"/>
    <n v="536.07000700000003"/>
    <n v="107.20166"/>
    <n v="233.759995"/>
    <n v="98.07"/>
    <x v="2"/>
    <s v="Sep"/>
    <x v="1"/>
    <n v="-4.327806013590371E-3"/>
    <n v="5.4329398834903299E-3"/>
    <s v="Normal"/>
  </r>
  <r>
    <d v="2015-09-24T00:00:00"/>
    <n v="533.75"/>
    <n v="106.544769"/>
    <n v="235.029999"/>
    <n v="103.760002"/>
    <x v="2"/>
    <s v="Sep"/>
    <x v="1"/>
    <n v="-1.7798594847775177E-2"/>
    <n v="-3.105969463923624E-3"/>
    <s v="Normal"/>
  </r>
  <r>
    <d v="2015-09-25T00:00:00"/>
    <n v="524.25"/>
    <n v="109.114441"/>
    <n v="234.300003"/>
    <n v="102.239998"/>
    <x v="2"/>
    <s v="Sep"/>
    <x v="1"/>
    <n v="-3.8512164043872185E-2"/>
    <n v="1.028597511370918E-2"/>
    <s v="Normal"/>
  </r>
  <r>
    <d v="2015-09-28T00:00:00"/>
    <n v="504.05999800000001"/>
    <n v="104.85420999999999"/>
    <n v="236.71000699999999"/>
    <n v="99.470000999999996"/>
    <x v="2"/>
    <s v="Sep"/>
    <x v="1"/>
    <n v="-1.5851269753010697E-2"/>
    <n v="-3.2952303533157947E-3"/>
    <s v="Normal"/>
  </r>
  <r>
    <d v="2015-09-29T00:00:00"/>
    <n v="496.07000699999998"/>
    <n v="102.274857"/>
    <n v="235.929993"/>
    <n v="98.349997999999999"/>
    <x v="2"/>
    <s v="Sep"/>
    <x v="1"/>
    <n v="3.1890676269004971E-2"/>
    <n v="4.7472132972936924E-3"/>
    <s v="Normal"/>
  </r>
  <r>
    <d v="2015-09-30T00:00:00"/>
    <n v="511.89001500000001"/>
    <n v="104.245575"/>
    <n v="237.050003"/>
    <n v="103.260002"/>
    <x v="2"/>
    <s v="Sep"/>
    <x v="1"/>
    <n v="1.7249713300229116E-2"/>
    <n v="-1.4342796696780193E-3"/>
    <s v="Normal"/>
  </r>
  <r>
    <d v="2015-10-01T00:00:00"/>
    <n v="520.71997099999999"/>
    <n v="101.753197"/>
    <n v="236.71000699999999"/>
    <n v="105.980003"/>
    <x v="2"/>
    <s v="Oct"/>
    <x v="2"/>
    <n v="2.2699354083348635E-2"/>
    <n v="7.8999406222822564E-3"/>
    <s v="Normal"/>
  </r>
  <r>
    <d v="2015-10-02T00:00:00"/>
    <n v="532.53997800000002"/>
    <n v="103.25054900000001"/>
    <n v="238.58000200000001"/>
    <n v="106.110001"/>
    <x v="2"/>
    <s v="Oct"/>
    <x v="2"/>
    <n v="2.091864547303517E-2"/>
    <n v="3.168747144196931E-2"/>
    <s v="Normal"/>
  </r>
  <r>
    <d v="2015-10-05T00:00:00"/>
    <n v="543.67999299999997"/>
    <n v="104.67063899999999"/>
    <n v="246.13999899999999"/>
    <n v="111.25"/>
    <x v="2"/>
    <s v="Oct"/>
    <x v="2"/>
    <n v="-1.1403790979669199E-2"/>
    <n v="-1.283823439033974E-2"/>
    <s v="Normal"/>
  </r>
  <r>
    <d v="2015-10-06T00:00:00"/>
    <n v="537.47997999999995"/>
    <n v="103.617653"/>
    <n v="242.979996"/>
    <n v="108.33000199999999"/>
    <x v="2"/>
    <s v="Oct"/>
    <x v="2"/>
    <n v="8.2980244213004817E-3"/>
    <n v="-1.6462013605432458E-3"/>
    <s v="Normal"/>
  </r>
  <r>
    <d v="2015-10-07T00:00:00"/>
    <n v="541.94000200000005"/>
    <n v="104.361519"/>
    <n v="242.58000200000001"/>
    <n v="108.099998"/>
    <x v="2"/>
    <s v="Oct"/>
    <x v="2"/>
    <n v="-1.6201108919064462E-2"/>
    <n v="6.0185958774953028E-3"/>
    <s v="Normal"/>
  </r>
  <r>
    <d v="2015-10-08T00:00:00"/>
    <n v="533.15997300000004"/>
    <n v="99.154533000000001"/>
    <n v="244.03999300000001"/>
    <n v="114.93"/>
    <x v="2"/>
    <s v="Oct"/>
    <x v="2"/>
    <n v="1.2454076330294862E-2"/>
    <n v="5.3680258874618057E-3"/>
    <s v="Normal"/>
  </r>
  <r>
    <d v="2015-10-09T00:00:00"/>
    <n v="539.79998799999998"/>
    <n v="101.801483"/>
    <n v="245.35000600000001"/>
    <n v="113.33000199999999"/>
    <x v="2"/>
    <s v="Oct"/>
    <x v="2"/>
    <n v="1.9247895944747715E-2"/>
    <n v="1.3979999658121044E-2"/>
    <s v="Normal"/>
  </r>
  <r>
    <d v="2015-10-12T00:00:00"/>
    <n v="550.19000200000005"/>
    <n v="102.477722"/>
    <n v="248.779999"/>
    <n v="113.449997"/>
    <x v="2"/>
    <s v="Oct"/>
    <x v="2"/>
    <n v="-2.344604582618386E-3"/>
    <n v="1.4269647939021029E-2"/>
    <s v="Normal"/>
  </r>
  <r>
    <d v="2015-10-13T00:00:00"/>
    <n v="548.90002400000003"/>
    <n v="102.564667"/>
    <n v="252.33000200000001"/>
    <n v="109.730003"/>
    <x v="2"/>
    <s v="Oct"/>
    <x v="2"/>
    <n v="-7.4148420878918236E-3"/>
    <n v="8.362065482803686E-3"/>
    <s v="Normal"/>
  </r>
  <r>
    <d v="2015-10-14T00:00:00"/>
    <n v="544.830017"/>
    <n v="100.825806"/>
    <n v="254.44000199999999"/>
    <n v="110.230003"/>
    <x v="2"/>
    <s v="Oct"/>
    <x v="2"/>
    <n v="3.2321980159914818E-2"/>
    <n v="3.3131555312595949E-2"/>
    <s v="Normal"/>
  </r>
  <r>
    <d v="2015-10-15T00:00:00"/>
    <n v="562.44000200000005"/>
    <n v="102.26519"/>
    <n v="262.86999500000002"/>
    <n v="101.089996"/>
    <x v="2"/>
    <s v="Oct"/>
    <x v="2"/>
    <n v="1.4792703169074939E-2"/>
    <n v="2.5525895414575554E-2"/>
    <s v="Normal"/>
  </r>
  <r>
    <d v="2015-10-16T00:00:00"/>
    <n v="570.76000999999997"/>
    <n v="102.612961"/>
    <n v="269.57998700000002"/>
    <n v="98.989998"/>
    <x v="2"/>
    <s v="Oct"/>
    <x v="2"/>
    <n v="4.1874237124637816E-3"/>
    <n v="6.3065883299409414E-4"/>
    <s v="Normal"/>
  </r>
  <r>
    <d v="2015-10-19T00:00:00"/>
    <n v="573.15002400000003"/>
    <n v="103.60799400000001"/>
    <n v="269.75"/>
    <n v="101.69000200000001"/>
    <x v="2"/>
    <s v="Oct"/>
    <x v="2"/>
    <n v="-2.1408040628469113E-2"/>
    <n v="-9.7868952734013175E-3"/>
    <s v="Normal"/>
  </r>
  <r>
    <d v="2015-10-20T00:00:00"/>
    <n v="560.88000499999998"/>
    <n v="102.583984"/>
    <n v="267.10998499999999"/>
    <n v="98.989998"/>
    <x v="2"/>
    <s v="Oct"/>
    <x v="2"/>
    <n v="-9.1106563871891592E-3"/>
    <n v="2.7367108721150911E-2"/>
    <s v="Normal"/>
  </r>
  <r>
    <d v="2015-10-21T00:00:00"/>
    <n v="555.77002000000005"/>
    <n v="99.946692999999996"/>
    <n v="274.42001299999998"/>
    <n v="97.959998999999996"/>
    <x v="2"/>
    <s v="Oct"/>
    <x v="2"/>
    <n v="1.4646261415828062E-2"/>
    <n v="9.110122737294675E-3"/>
    <s v="Normal"/>
  </r>
  <r>
    <d v="2015-10-22T00:00:00"/>
    <n v="563.90997300000004"/>
    <n v="100.42971"/>
    <n v="276.92001299999998"/>
    <n v="97.32"/>
    <x v="2"/>
    <s v="Oct"/>
    <x v="2"/>
    <n v="6.2279544043460242E-2"/>
    <n v="2.0366837842088446E-2"/>
    <s v="Normal"/>
  </r>
  <r>
    <d v="2015-10-23T00:00:00"/>
    <n v="599.03002900000001"/>
    <n v="100.56498000000001"/>
    <n v="282.55999800000001"/>
    <n v="100.040001"/>
    <x v="2"/>
    <s v="Oct"/>
    <x v="2"/>
    <n v="1.5992447016374929E-2"/>
    <n v="9.1661806990810668E-3"/>
    <s v="Normal"/>
  </r>
  <r>
    <d v="2015-10-26T00:00:00"/>
    <n v="608.60998500000005"/>
    <n v="102.21689600000001"/>
    <n v="285.14999399999999"/>
    <n v="103.040001"/>
    <x v="2"/>
    <s v="Oct"/>
    <x v="2"/>
    <n v="3.9434532116654547E-3"/>
    <n v="3.3350903735246171E-2"/>
    <s v="Normal"/>
  </r>
  <r>
    <d v="2015-10-27T00:00:00"/>
    <n v="611.01000999999997"/>
    <n v="101.395752"/>
    <n v="294.66000400000001"/>
    <n v="103.07"/>
    <x v="2"/>
    <s v="Oct"/>
    <x v="2"/>
    <n v="9.9670478393635558E-3"/>
    <n v="3.0136444985590857E-2"/>
    <s v="Normal"/>
  </r>
  <r>
    <d v="2015-10-28T00:00:00"/>
    <n v="617.09997599999997"/>
    <n v="105.984459"/>
    <n v="303.540009"/>
    <n v="105.800003"/>
    <x v="2"/>
    <s v="Oct"/>
    <x v="2"/>
    <n v="1.5313583483270166E-2"/>
    <n v="3.3241074325724172E-2"/>
    <s v="Normal"/>
  </r>
  <r>
    <d v="2015-10-29T00:00:00"/>
    <n v="626.54998799999998"/>
    <n v="105.68499799999999"/>
    <n v="313.63000499999998"/>
    <n v="105.120003"/>
    <x v="2"/>
    <s v="Oct"/>
    <x v="2"/>
    <n v="-1.0373697429548981E-3"/>
    <n v="4.3012434349194474E-2"/>
    <s v="Normal"/>
  </r>
  <r>
    <d v="2015-10-30T00:00:00"/>
    <n v="625.90002400000003"/>
    <n v="103.047691"/>
    <n v="327.11999500000002"/>
    <n v="108.379997"/>
    <x v="2"/>
    <s v="Oct"/>
    <x v="2"/>
    <n v="3.9142864771641852E-3"/>
    <n v="9.8312559585359366E-2"/>
    <s v="High Volatility"/>
  </r>
  <r>
    <d v="2015-11-02T00:00:00"/>
    <n v="628.34997599999997"/>
    <n v="105.05706000000001"/>
    <n v="359.27999899999998"/>
    <n v="107.639999"/>
    <x v="2"/>
    <s v="Nov"/>
    <x v="2"/>
    <n v="-4.8380331282132797E-3"/>
    <n v="0.1035682228444896"/>
    <s v="High Volatility"/>
  </r>
  <r>
    <d v="2015-11-03T00:00:00"/>
    <n v="625.30999799999995"/>
    <n v="103.53072400000001"/>
    <n v="396.48998999999998"/>
    <n v="109.739998"/>
    <x v="2"/>
    <s v="Nov"/>
    <x v="2"/>
    <n v="2.5011616718145079E-2"/>
    <n v="1.1097442838342597E-2"/>
    <s v="Normal"/>
  </r>
  <r>
    <d v="2015-11-04T00:00:00"/>
    <n v="640.95001200000002"/>
    <n v="101.482719"/>
    <n v="400.89001500000001"/>
    <n v="114.050003"/>
    <x v="2"/>
    <s v="Nov"/>
    <x v="2"/>
    <n v="2.2934724588163383E-2"/>
    <n v="-4.5374048540470606E-2"/>
    <s v="Normal"/>
  </r>
  <r>
    <d v="2015-11-05T00:00:00"/>
    <n v="655.65002400000003"/>
    <n v="100.574623"/>
    <n v="382.70001200000002"/>
    <n v="113.5"/>
    <x v="2"/>
    <s v="Nov"/>
    <x v="2"/>
    <n v="5.6737144266465955E-3"/>
    <n v="-3.3681770566550195E-2"/>
    <s v="Normal"/>
  </r>
  <r>
    <d v="2015-11-06T00:00:00"/>
    <n v="659.36999500000002"/>
    <n v="100.89341"/>
    <n v="369.80999800000001"/>
    <n v="114.05999799999999"/>
    <x v="2"/>
    <s v="Nov"/>
    <x v="2"/>
    <n v="-5.884412438269932E-3"/>
    <n v="2.8149598594681632E-2"/>
    <s v="Normal"/>
  </r>
  <r>
    <d v="2015-11-09T00:00:00"/>
    <n v="655.48999000000003"/>
    <n v="99.540954999999997"/>
    <n v="380.22000100000002"/>
    <n v="109.860001"/>
    <x v="2"/>
    <s v="Nov"/>
    <x v="2"/>
    <n v="6.3921693144390092E-3"/>
    <n v="-0.11448634707672843"/>
    <s v="High Volatility"/>
  </r>
  <r>
    <d v="2015-11-10T00:00:00"/>
    <n v="659.67999299999997"/>
    <n v="100.690552"/>
    <n v="336.69000199999999"/>
    <n v="112.699997"/>
    <x v="2"/>
    <s v="Nov"/>
    <x v="2"/>
    <n v="2.0570590504478181E-2"/>
    <n v="-9.4983548100724388E-2"/>
    <s v="High Volatility"/>
  </r>
  <r>
    <d v="2015-11-11T00:00:00"/>
    <n v="673.25"/>
    <n v="101.637276"/>
    <n v="304.709991"/>
    <n v="112.860001"/>
    <x v="2"/>
    <s v="Nov"/>
    <x v="2"/>
    <n v="-1.136282807278133E-2"/>
    <n v="9.563196436181183E-2"/>
    <s v="High Volatility"/>
  </r>
  <r>
    <d v="2015-11-12T00:00:00"/>
    <n v="665.59997599999997"/>
    <n v="99.396056999999999"/>
    <n v="333.85000600000001"/>
    <n v="108.91999800000001"/>
    <x v="2"/>
    <s v="Nov"/>
    <x v="2"/>
    <n v="-3.4930890682604236E-2"/>
    <n v="-2.3967949247243088E-4"/>
    <s v="Normal"/>
  </r>
  <r>
    <d v="2015-11-13T00:00:00"/>
    <n v="642.34997599999997"/>
    <n v="98.169182000000006"/>
    <n v="333.76998900000001"/>
    <n v="103.650002"/>
    <x v="2"/>
    <s v="Nov"/>
    <x v="2"/>
    <n v="8.5000734864197781E-3"/>
    <n v="-1.0666021863337771E-2"/>
    <s v="Normal"/>
  </r>
  <r>
    <d v="2015-11-16T00:00:00"/>
    <n v="647.80999799999995"/>
    <n v="99.975684999999999"/>
    <n v="330.209991"/>
    <n v="111.349998"/>
    <x v="2"/>
    <s v="Nov"/>
    <x v="2"/>
    <n v="-6.9619333044007234E-3"/>
    <n v="1.120503043773746E-2"/>
    <s v="Normal"/>
  </r>
  <r>
    <d v="2015-11-17T00:00:00"/>
    <n v="643.29998799999998"/>
    <n v="98.768105000000006"/>
    <n v="333.91000400000001"/>
    <n v="117.099998"/>
    <x v="2"/>
    <s v="Nov"/>
    <x v="2"/>
    <n v="3.1462755133768221E-2"/>
    <n v="6.0196129972792554E-3"/>
    <s v="Normal"/>
  </r>
  <r>
    <d v="2015-11-18T00:00:00"/>
    <n v="663.53997800000002"/>
    <n v="100.53598"/>
    <n v="335.92001299999998"/>
    <n v="120.629997"/>
    <x v="2"/>
    <s v="Nov"/>
    <x v="2"/>
    <n v="-3.4209815162033448E-3"/>
    <n v="-3.2567282616769826E-2"/>
    <s v="Normal"/>
  </r>
  <r>
    <d v="2015-11-19T00:00:00"/>
    <n v="661.27002000000005"/>
    <n v="100.97069500000001"/>
    <n v="324.98001099999999"/>
    <n v="120.220001"/>
    <x v="2"/>
    <s v="Nov"/>
    <x v="2"/>
    <n v="1.0857882230922808E-2"/>
    <n v="-1.1877702841237129E-2"/>
    <s v="Normal"/>
  </r>
  <r>
    <d v="2015-11-20T00:00:00"/>
    <n v="668.45001200000002"/>
    <n v="101.45372"/>
    <n v="321.11999500000002"/>
    <n v="123.839996"/>
    <x v="2"/>
    <s v="Nov"/>
    <x v="2"/>
    <n v="1.576778788359124E-2"/>
    <n v="3.1141006962210494E-3"/>
    <s v="Normal"/>
  </r>
  <r>
    <d v="2015-11-23T00:00:00"/>
    <n v="678.98999000000003"/>
    <n v="104.052376"/>
    <n v="322.11999500000002"/>
    <n v="125.029999"/>
    <x v="2"/>
    <s v="Nov"/>
    <x v="2"/>
    <n v="-1.1546511900713005E-2"/>
    <n v="-1.1703678934926126E-2"/>
    <s v="Normal"/>
  </r>
  <r>
    <d v="2015-11-24T00:00:00"/>
    <n v="671.15002400000003"/>
    <n v="103.79155"/>
    <n v="318.35000600000001"/>
    <n v="123.30999799999999"/>
    <x v="2"/>
    <s v="Nov"/>
    <x v="2"/>
    <n v="6.243019965979966E-3"/>
    <n v="2.8804720675896584E-2"/>
    <s v="Normal"/>
  </r>
  <r>
    <d v="2015-11-25T00:00:00"/>
    <n v="675.34002699999996"/>
    <n v="105.443466"/>
    <n v="327.51998900000001"/>
    <n v="124.160004"/>
    <x v="2"/>
    <s v="Nov"/>
    <x v="2"/>
    <n v="-3.0799551586478055E-3"/>
    <n v="9.7703960291718253E-2"/>
    <s v="High Volatility"/>
  </r>
  <r>
    <d v="2015-11-27T00:00:00"/>
    <n v="673.26000999999997"/>
    <n v="104.96045700000001"/>
    <n v="359.51998900000001"/>
    <n v="125.44000200000001"/>
    <x v="2"/>
    <s v="Nov"/>
    <x v="2"/>
    <n v="-1.2565757470133984E-2"/>
    <n v="5.1318459514082856E-2"/>
    <s v="High Volatility"/>
  </r>
  <r>
    <d v="2015-11-30T00:00:00"/>
    <n v="664.79998799999998"/>
    <n v="103.82053399999999"/>
    <n v="377.97000100000002"/>
    <n v="123.33000199999999"/>
    <x v="2"/>
    <s v="Nov"/>
    <x v="2"/>
    <n v="2.1450075597775078E-2"/>
    <n v="-4.2781207390054324E-2"/>
    <s v="Normal"/>
  </r>
  <r>
    <d v="2015-12-01T00:00:00"/>
    <n v="679.05999799999995"/>
    <n v="105.163338"/>
    <n v="361.79998799999998"/>
    <n v="125.370003"/>
    <x v="2"/>
    <s v="Dec"/>
    <x v="2"/>
    <n v="-4.4914853017155414E-3"/>
    <n v="-5.0303401336762744E-3"/>
    <s v="Normal"/>
  </r>
  <r>
    <d v="2015-12-02T00:00:00"/>
    <n v="676.01000999999997"/>
    <n v="105.105362"/>
    <n v="359.98001099999999"/>
    <n v="128.929993"/>
    <x v="2"/>
    <s v="Dec"/>
    <x v="2"/>
    <n v="-1.4437670826797323E-2"/>
    <n v="9.1668145429335221E-4"/>
    <s v="Normal"/>
  </r>
  <r>
    <d v="2015-12-03T00:00:00"/>
    <n v="666.25"/>
    <n v="103.79155"/>
    <n v="360.30999800000001"/>
    <n v="126.80999799999999"/>
    <x v="2"/>
    <s v="Dec"/>
    <x v="2"/>
    <n v="9.5910168855533936E-3"/>
    <n v="3.7745691419863842E-3"/>
    <s v="Normal"/>
  </r>
  <r>
    <d v="2015-12-04T00:00:00"/>
    <n v="672.64001499999995"/>
    <n v="106.10039500000001"/>
    <n v="361.67001299999998"/>
    <n v="130.929993"/>
    <x v="2"/>
    <s v="Dec"/>
    <x v="2"/>
    <n v="-4.1775659154026845E-3"/>
    <n v="9.0165025652817934E-2"/>
    <s v="High Volatility"/>
  </r>
  <r>
    <d v="2015-12-07T00:00:00"/>
    <n v="669.830017"/>
    <n v="106.641373"/>
    <n v="394.27999899999998"/>
    <n v="125.360001"/>
    <x v="2"/>
    <s v="Dec"/>
    <x v="2"/>
    <n v="1.1196870563655257E-2"/>
    <n v="4.1569478648598682E-2"/>
    <s v="Normal"/>
  </r>
  <r>
    <d v="2015-12-08T00:00:00"/>
    <n v="677.330017"/>
    <n v="106.20665"/>
    <n v="410.67001299999998"/>
    <n v="126.980003"/>
    <x v="2"/>
    <s v="Dec"/>
    <x v="2"/>
    <n v="-1.8513927753477932E-2"/>
    <n v="1.2978758690131138E-2"/>
    <s v="Normal"/>
  </r>
  <r>
    <d v="2015-12-09T00:00:00"/>
    <n v="664.78997800000002"/>
    <n v="105.39516399999999"/>
    <n v="416"/>
    <n v="124.199997"/>
    <x v="2"/>
    <s v="Dec"/>
    <x v="2"/>
    <n v="-3.715415517289863E-3"/>
    <n v="-1.225985576923131E-3"/>
    <s v="Normal"/>
  </r>
  <r>
    <d v="2015-12-10T00:00:00"/>
    <n v="662.32000700000003"/>
    <n v="105.627014"/>
    <n v="415.48998999999998"/>
    <n v="122.910004"/>
    <x v="2"/>
    <s v="Dec"/>
    <x v="2"/>
    <n v="-3.3473219539931549E-2"/>
    <n v="8.2649396679809403E-2"/>
    <s v="High Volatility"/>
  </r>
  <r>
    <d v="2015-12-11T00:00:00"/>
    <n v="640.15002400000003"/>
    <n v="105.249191"/>
    <n v="449.82998700000002"/>
    <n v="118.910004"/>
    <x v="2"/>
    <s v="Dec"/>
    <x v="2"/>
    <n v="2.7743416908783878E-2"/>
    <n v="-1.7406547420770364E-2"/>
    <s v="Normal"/>
  </r>
  <r>
    <d v="2015-12-14T00:00:00"/>
    <n v="657.90997300000004"/>
    <n v="105.96611"/>
    <n v="442"/>
    <n v="120.66999800000001"/>
    <x v="2"/>
    <s v="Dec"/>
    <x v="2"/>
    <n v="1.109638141934523E-3"/>
    <n v="4.6719443438914009E-2"/>
    <s v="Normal"/>
  </r>
  <r>
    <d v="2015-12-15T00:00:00"/>
    <n v="658.64001499999995"/>
    <n v="106.498924"/>
    <n v="462.64999399999999"/>
    <n v="118.599998"/>
    <x v="2"/>
    <s v="Dec"/>
    <x v="2"/>
    <n v="2.6008144980380669E-2"/>
    <n v="-1.8739831649062989E-2"/>
    <s v="Normal"/>
  </r>
  <r>
    <d v="2015-12-16T00:00:00"/>
    <n v="675.77002000000005"/>
    <n v="105.811089"/>
    <n v="453.98001099999999"/>
    <n v="122.639999"/>
    <x v="2"/>
    <s v="Dec"/>
    <x v="2"/>
    <n v="-7.5765361712850391E-3"/>
    <n v="3.4142208080610512E-3"/>
    <s v="Normal"/>
  </r>
  <r>
    <d v="2015-12-17T00:00:00"/>
    <n v="670.65002400000003"/>
    <n v="105.956413"/>
    <n v="455.52999899999998"/>
    <n v="122.510002"/>
    <x v="2"/>
    <s v="Dec"/>
    <x v="2"/>
    <n v="-9.70701374343063E-3"/>
    <n v="1.6793611873627778E-2"/>
    <s v="Normal"/>
  </r>
  <r>
    <d v="2015-12-18T00:00:00"/>
    <n v="664.14001499999995"/>
    <n v="105.44296300000001"/>
    <n v="463.17999300000002"/>
    <n v="118.019997"/>
    <x v="2"/>
    <s v="Dec"/>
    <x v="2"/>
    <n v="5.5710391128897298E-4"/>
    <n v="-5.5248493861435072E-2"/>
    <s v="High Volatility"/>
  </r>
  <r>
    <d v="2015-12-21T00:00:00"/>
    <n v="664.51000999999997"/>
    <n v="106.30519099999999"/>
    <n v="437.58999599999999"/>
    <n v="116.629997"/>
    <x v="2"/>
    <s v="Dec"/>
    <x v="2"/>
    <n v="-2.0465997193931441E-3"/>
    <n v="-1.2797298958361239E-3"/>
    <s v="Normal"/>
  </r>
  <r>
    <d v="2015-12-22T00:00:00"/>
    <n v="663.15002400000003"/>
    <n v="105.99516300000001"/>
    <n v="437.02999899999998"/>
    <n v="116.239998"/>
    <x v="2"/>
    <s v="Dec"/>
    <x v="2"/>
    <n v="8.2935682740770708E-4"/>
    <n v="1.2356117457282491E-2"/>
    <s v="Normal"/>
  </r>
  <r>
    <d v="2015-12-23T00:00:00"/>
    <n v="663.70001200000002"/>
    <n v="106.062988"/>
    <n v="442.42999300000002"/>
    <n v="118.160004"/>
    <x v="2"/>
    <s v="Dec"/>
    <x v="2"/>
    <n v="-1.3711526044088665E-3"/>
    <n v="2.3845621153446451E-2"/>
    <s v="Normal"/>
  </r>
  <r>
    <d v="2015-12-24T00:00:00"/>
    <n v="662.78997800000002"/>
    <n v="106.121109"/>
    <n v="452.98001099999999"/>
    <n v="117.33000199999999"/>
    <x v="2"/>
    <s v="Dec"/>
    <x v="2"/>
    <n v="1.8723931278272883E-2"/>
    <n v="-6.89213657156275E-2"/>
    <s v="High Volatility"/>
  </r>
  <r>
    <d v="2015-12-28T00:00:00"/>
    <n v="675.20001200000002"/>
    <n v="106.692688"/>
    <n v="421.76001000000002"/>
    <n v="117.110001"/>
    <x v="2"/>
    <s v="Dec"/>
    <x v="2"/>
    <n v="2.7799109399304887E-2"/>
    <n v="2.4089536132171373E-2"/>
    <s v="Normal"/>
  </r>
  <r>
    <d v="2015-12-29T00:00:00"/>
    <n v="693.96997099999999"/>
    <n v="108.504333"/>
    <n v="431.92001299999998"/>
    <n v="119.120003"/>
    <x v="2"/>
    <s v="Dec"/>
    <x v="2"/>
    <n v="-7.0607723745440771E-3"/>
    <n v="-1.1043755455712099E-2"/>
    <s v="Normal"/>
  </r>
  <r>
    <d v="2015-12-30T00:00:00"/>
    <n v="689.07000700000003"/>
    <n v="108.029625"/>
    <n v="427.14999399999999"/>
    <n v="116.709999"/>
    <x v="2"/>
    <s v="Dec"/>
    <x v="2"/>
    <n v="-1.9127217650034917E-2"/>
    <n v="6.5551165617013275E-3"/>
    <s v="Normal"/>
  </r>
  <r>
    <d v="2015-12-31T00:00:00"/>
    <n v="675.89001499999995"/>
    <n v="107.777733"/>
    <n v="429.95001200000002"/>
    <n v="114.379997"/>
    <x v="2"/>
    <s v="Dec"/>
    <x v="2"/>
    <n v="-5.755377966339674E-2"/>
    <n v="7.838108863687996E-3"/>
    <s v="Normal"/>
  </r>
  <r>
    <d v="2016-01-04T00:00:00"/>
    <n v="636.98999000000003"/>
    <n v="105.820778"/>
    <n v="433.32000699999998"/>
    <n v="109.959999"/>
    <x v="3"/>
    <s v="Jan"/>
    <x v="3"/>
    <n v="-5.0236456619985742E-3"/>
    <n v="-4.8924466116330523E-3"/>
    <s v="Normal"/>
  </r>
  <r>
    <d v="2016-01-05T00:00:00"/>
    <n v="633.78997800000002"/>
    <n v="106.498924"/>
    <n v="431.20001200000002"/>
    <n v="107.660004"/>
    <x v="3"/>
    <s v="Jan"/>
    <x v="3"/>
    <n v="-1.7986305236274795E-3"/>
    <n v="-8.8127316656948435E-4"/>
    <s v="Normal"/>
  </r>
  <r>
    <d v="2016-01-06T00:00:00"/>
    <n v="632.65002400000003"/>
    <n v="106.343918"/>
    <n v="430.82000699999998"/>
    <n v="117.68"/>
    <x v="3"/>
    <s v="Jan"/>
    <x v="3"/>
    <n v="-3.9057964218144059E-2"/>
    <n v="6.0883850735372211E-2"/>
    <s v="High Volatility"/>
  </r>
  <r>
    <d v="2016-01-07T00:00:00"/>
    <n v="607.94000200000005"/>
    <n v="103.41817500000001"/>
    <n v="457.04998799999998"/>
    <n v="114.55999799999999"/>
    <x v="3"/>
    <s v="Jan"/>
    <x v="3"/>
    <n v="-1.4639832830083529E-3"/>
    <n v="-9.1455926260739073E-3"/>
    <s v="Normal"/>
  </r>
  <r>
    <d v="2016-01-08T00:00:00"/>
    <n v="607.04998799999998"/>
    <n v="105.568909"/>
    <n v="452.86999500000002"/>
    <n v="111.389999"/>
    <x v="3"/>
    <s v="Jan"/>
    <x v="3"/>
    <n v="1.7609755722456336E-2"/>
    <n v="-1.1371903762358979E-2"/>
    <s v="Normal"/>
  </r>
  <r>
    <d v="2016-01-11T00:00:00"/>
    <n v="617.73999000000003"/>
    <n v="102.904724"/>
    <n v="447.72000100000002"/>
    <n v="114.970001"/>
    <x v="3"/>
    <s v="Jan"/>
    <x v="3"/>
    <n v="2.4286107816965863E-4"/>
    <n v="-5.9858661529843668E-3"/>
    <s v="Normal"/>
  </r>
  <r>
    <d v="2016-01-12T00:00:00"/>
    <n v="617.89001499999995"/>
    <n v="106.33422899999999"/>
    <n v="445.040009"/>
    <n v="116.58000199999999"/>
    <x v="3"/>
    <s v="Jan"/>
    <x v="3"/>
    <n v="-5.8392296564300367E-2"/>
    <n v="-2.889631435361573E-2"/>
    <s v="Normal"/>
  </r>
  <r>
    <d v="2016-01-13T00:00:00"/>
    <n v="581.80999799999995"/>
    <n v="104.590416"/>
    <n v="432.17999300000002"/>
    <n v="106.55999799999999"/>
    <x v="3"/>
    <s v="Jan"/>
    <x v="3"/>
    <n v="1.923308646889229E-2"/>
    <n v="-7.0572170146711109E-3"/>
    <s v="Normal"/>
  </r>
  <r>
    <d v="2016-01-14T00:00:00"/>
    <n v="593"/>
    <n v="103.79600499999999"/>
    <n v="429.13000499999998"/>
    <n v="107.05999799999999"/>
    <x v="3"/>
    <s v="Jan"/>
    <x v="3"/>
    <n v="-3.8482305227656041E-2"/>
    <n v="-0.13252393059767509"/>
    <s v="High Volatility"/>
  </r>
  <r>
    <d v="2016-01-15T00:00:00"/>
    <n v="570.17999299999997"/>
    <n v="100.909019"/>
    <n v="372.26001000000002"/>
    <n v="104.040001"/>
    <x v="3"/>
    <s v="Jan"/>
    <x v="3"/>
    <n v="7.5414554224809277E-3"/>
    <n v="1.9341269023229166E-2"/>
    <s v="Normal"/>
  </r>
  <r>
    <d v="2016-01-19T00:00:00"/>
    <n v="574.47997999999995"/>
    <n v="101.645302"/>
    <n v="379.459991"/>
    <n v="107.889999"/>
    <x v="3"/>
    <s v="Jan"/>
    <x v="3"/>
    <n v="-4.7172401029534749E-3"/>
    <n v="9.255256636529044E-2"/>
    <s v="High Volatility"/>
  </r>
  <r>
    <d v="2016-01-20T00:00:00"/>
    <n v="571.77002000000005"/>
    <n v="103.13723"/>
    <n v="414.57998700000002"/>
    <n v="107.739998"/>
    <x v="3"/>
    <s v="Jan"/>
    <x v="3"/>
    <n v="5.6841035491857371E-3"/>
    <n v="-1.046841896881057E-2"/>
    <s v="Normal"/>
  </r>
  <r>
    <d v="2016-01-21T00:00:00"/>
    <n v="575.02002000000005"/>
    <n v="104.34822800000001"/>
    <n v="410.23998999999998"/>
    <n v="102.349998"/>
    <x v="3"/>
    <s v="Jan"/>
    <x v="3"/>
    <n v="3.7146506655542075E-2"/>
    <n v="-6.7253307021580194E-2"/>
    <s v="High Volatility"/>
  </r>
  <r>
    <d v="2016-01-22T00:00:00"/>
    <n v="596.38000499999998"/>
    <n v="108.116798"/>
    <n v="382.64999399999999"/>
    <n v="100.720001"/>
    <x v="3"/>
    <s v="Jan"/>
    <x v="3"/>
    <n v="2.515577295386192E-4"/>
    <n v="2.6421053596044301E-2"/>
    <s v="Normal"/>
  </r>
  <r>
    <d v="2016-01-25T00:00:00"/>
    <n v="596.53002900000001"/>
    <n v="107.273956"/>
    <n v="392.76001000000002"/>
    <n v="99.120002999999997"/>
    <x v="3"/>
    <s v="Jan"/>
    <x v="3"/>
    <n v="7.9123778695807893E-3"/>
    <n v="-7.5873584991507847E-3"/>
    <s v="Normal"/>
  </r>
  <r>
    <d v="2016-01-26T00:00:00"/>
    <n v="601.25"/>
    <n v="108.66902899999999"/>
    <n v="389.77999899999998"/>
    <n v="97.830001999999993"/>
    <x v="3"/>
    <s v="Jan"/>
    <x v="3"/>
    <n v="-2.9771349688149738E-2"/>
    <n v="1.3443455316956976E-2"/>
    <s v="Normal"/>
  </r>
  <r>
    <d v="2016-01-27T00:00:00"/>
    <n v="583.34997599999997"/>
    <n v="107.593666"/>
    <n v="395.01998900000001"/>
    <n v="91.150002000000001"/>
    <x v="3"/>
    <s v="Jan"/>
    <x v="3"/>
    <n v="8.9140313944231664E-2"/>
    <n v="-3.8808129783022234E-2"/>
    <s v="Normal"/>
  </r>
  <r>
    <d v="2016-01-28T00:00:00"/>
    <n v="635.34997599999997"/>
    <n v="108.69807400000001"/>
    <n v="379.69000199999999"/>
    <n v="94.410004000000001"/>
    <x v="3"/>
    <s v="Jan"/>
    <x v="3"/>
    <n v="-7.6099752618862093E-2"/>
    <n v="1.5802549364995E-3"/>
    <s v="Normal"/>
  </r>
  <r>
    <d v="2016-01-29T00:00:00"/>
    <n v="587"/>
    <n v="110.374084"/>
    <n v="380.290009"/>
    <n v="91.839995999999999"/>
    <x v="3"/>
    <s v="Jan"/>
    <x v="3"/>
    <n v="-2.0766613287904682E-2"/>
    <n v="-2.1325871855865593E-2"/>
    <s v="Normal"/>
  </r>
  <r>
    <d v="2016-02-01T00:00:00"/>
    <n v="574.80999799999995"/>
    <n v="110.78098300000001"/>
    <n v="372.17999300000002"/>
    <n v="94.089995999999999"/>
    <x v="3"/>
    <s v="Feb"/>
    <x v="3"/>
    <n v="-3.950874563597967E-2"/>
    <n v="4.6752110073793205E-3"/>
    <s v="Normal"/>
  </r>
  <r>
    <d v="2016-02-02T00:00:00"/>
    <n v="552.09997599999997"/>
    <n v="110.199699"/>
    <n v="373.92001299999998"/>
    <n v="91.489998"/>
    <x v="3"/>
    <s v="Feb"/>
    <x v="3"/>
    <n v="-3.809087106354074E-2"/>
    <n v="-1.5778839845087333E-2"/>
    <s v="Normal"/>
  </r>
  <r>
    <d v="2016-02-03T00:00:00"/>
    <n v="531.07000700000003"/>
    <n v="110.248154"/>
    <n v="368.01998900000001"/>
    <n v="90.739998"/>
    <x v="3"/>
    <s v="Feb"/>
    <x v="3"/>
    <n v="9.7727285133613895E-3"/>
    <n v="6.1491238727252887E-2"/>
    <s v="High Volatility"/>
  </r>
  <r>
    <d v="2016-02-04T00:00:00"/>
    <n v="536.26000999999997"/>
    <n v="110.441902"/>
    <n v="390.64999399999999"/>
    <n v="89.709998999999996"/>
    <x v="3"/>
    <s v="Feb"/>
    <x v="3"/>
    <n v="-6.364450893886342E-2"/>
    <n v="-1.0725721398577547E-2"/>
    <s v="Normal"/>
  </r>
  <r>
    <d v="2016-02-05T00:00:00"/>
    <n v="502.13000499999998"/>
    <n v="106.925194"/>
    <n v="386.459991"/>
    <n v="82.790001000000004"/>
    <x v="3"/>
    <s v="Feb"/>
    <x v="3"/>
    <n v="-2.7940969191833052E-2"/>
    <n v="-3.578633318345241E-2"/>
    <s v="Normal"/>
  </r>
  <r>
    <d v="2016-02-08T00:00:00"/>
    <n v="488.10000600000001"/>
    <n v="104.784172"/>
    <n v="372.63000499999998"/>
    <n v="83.32"/>
    <x v="3"/>
    <s v="Feb"/>
    <x v="3"/>
    <n v="-1.235402361375925E-2"/>
    <n v="7.2189624128631098E-3"/>
    <s v="Normal"/>
  </r>
  <r>
    <d v="2016-02-09T00:00:00"/>
    <n v="482.07000699999998"/>
    <n v="102.323463"/>
    <n v="375.32000699999998"/>
    <n v="86.129997000000003"/>
    <x v="3"/>
    <s v="Feb"/>
    <x v="3"/>
    <n v="1.7445607231067615E-2"/>
    <n v="1.7478412761513157E-2"/>
    <s v="Normal"/>
  </r>
  <r>
    <d v="2016-02-10T00:00:00"/>
    <n v="490.48001099999999"/>
    <n v="103.66037799999999"/>
    <n v="381.88000499999998"/>
    <n v="88.449996999999996"/>
    <x v="3"/>
    <s v="Feb"/>
    <x v="3"/>
    <n v="2.7197838241770845E-2"/>
    <n v="-6.3632370592431719E-3"/>
    <s v="Normal"/>
  </r>
  <r>
    <d v="2016-02-11T00:00:00"/>
    <n v="503.82000699999998"/>
    <n v="103.563492"/>
    <n v="379.45001200000002"/>
    <n v="86.349997999999999"/>
    <x v="3"/>
    <s v="Feb"/>
    <x v="3"/>
    <n v="6.4705250976665593E-3"/>
    <n v="1.2096447107241053E-2"/>
    <s v="Normal"/>
  </r>
  <r>
    <d v="2016-02-12T00:00:00"/>
    <n v="507.07998700000002"/>
    <n v="106.08234400000001"/>
    <n v="384.040009"/>
    <n v="87.400002000000001"/>
    <x v="3"/>
    <s v="Feb"/>
    <x v="3"/>
    <n v="2.7648476294529746E-2"/>
    <n v="5.8275188718683694E-2"/>
    <s v="High Volatility"/>
  </r>
  <r>
    <d v="2016-02-16T00:00:00"/>
    <n v="521.09997599999997"/>
    <n v="107.613045"/>
    <n v="406.42001299999998"/>
    <n v="89.050003000000004"/>
    <x v="3"/>
    <s v="Feb"/>
    <x v="3"/>
    <n v="2.4947228168745877E-2"/>
    <n v="2.6376658769508041E-2"/>
    <s v="Normal"/>
  </r>
  <r>
    <d v="2016-02-17T00:00:00"/>
    <n v="534.09997599999997"/>
    <n v="109.424683"/>
    <n v="417.14001500000001"/>
    <n v="94.760002"/>
    <x v="3"/>
    <s v="Feb"/>
    <x v="3"/>
    <n v="-1.7037963693898331E-2"/>
    <n v="1.0212348005021736E-2"/>
    <s v="Normal"/>
  </r>
  <r>
    <d v="2016-02-18T00:00:00"/>
    <n v="525"/>
    <n v="108.543076"/>
    <n v="421.39999399999999"/>
    <n v="90.489998"/>
    <x v="3"/>
    <s v="Feb"/>
    <x v="3"/>
    <n v="1.8857188571428631E-2"/>
    <n v="-3.3696796872759375E-3"/>
    <s v="Normal"/>
  </r>
  <r>
    <d v="2016-02-19T00:00:00"/>
    <n v="534.90002400000003"/>
    <n v="109.347176"/>
    <n v="419.98001099999999"/>
    <n v="89.230002999999996"/>
    <x v="3"/>
    <s v="Feb"/>
    <x v="3"/>
    <n v="4.5989857723393875E-2"/>
    <n v="4.2406775402460781E-2"/>
    <s v="Normal"/>
  </r>
  <r>
    <d v="2016-02-22T00:00:00"/>
    <n v="559.5"/>
    <n v="111.49788700000001"/>
    <n v="437.790009"/>
    <n v="91.93"/>
    <x v="3"/>
    <s v="Feb"/>
    <x v="3"/>
    <n v="-1.1724750670241198E-2"/>
    <n v="-4.0864374773797098E-2"/>
    <s v="Normal"/>
  </r>
  <r>
    <d v="2016-02-23T00:00:00"/>
    <n v="552.94000200000005"/>
    <n v="113.948914"/>
    <n v="419.89999399999999"/>
    <n v="89.120002999999997"/>
    <x v="3"/>
    <s v="Feb"/>
    <x v="3"/>
    <n v="1.9893225232779769E-3"/>
    <n v="6.7159015010608272E-3"/>
    <s v="Normal"/>
  </r>
  <r>
    <d v="2016-02-24T00:00:00"/>
    <n v="554.03997800000002"/>
    <n v="113.93924"/>
    <n v="422.72000100000002"/>
    <n v="91.610000999999997"/>
    <x v="3"/>
    <s v="Feb"/>
    <x v="3"/>
    <n v="2.0035485598117095E-3"/>
    <n v="1.7979040457088891E-3"/>
    <s v="Normal"/>
  </r>
  <r>
    <d v="2016-02-25T00:00:00"/>
    <n v="555.15002400000003"/>
    <n v="128.752014"/>
    <n v="423.48001099999999"/>
    <n v="94.529999000000004"/>
    <x v="3"/>
    <s v="Feb"/>
    <x v="3"/>
    <n v="1.4402593270882149E-4"/>
    <n v="9.0677148867836059E-3"/>
    <s v="Normal"/>
  </r>
  <r>
    <d v="2016-02-26T00:00:00"/>
    <n v="555.22997999999995"/>
    <n v="130.195526"/>
    <n v="427.32000699999998"/>
    <n v="94.790001000000004"/>
    <x v="3"/>
    <s v="Feb"/>
    <x v="3"/>
    <n v="-4.8807883176623683E-3"/>
    <n v="2.0804043467124691E-2"/>
    <s v="Normal"/>
  </r>
  <r>
    <d v="2016-02-29T00:00:00"/>
    <n v="552.52002000000005"/>
    <n v="128.887619"/>
    <n v="436.209991"/>
    <n v="93.410004000000001"/>
    <x v="3"/>
    <s v="Feb"/>
    <x v="3"/>
    <n v="4.7998184753558742E-2"/>
    <n v="-4.9746270025254977E-3"/>
    <s v="Normal"/>
  </r>
  <r>
    <d v="2016-03-01T00:00:00"/>
    <n v="579.03997800000002"/>
    <n v="129.96298200000001"/>
    <n v="434.040009"/>
    <n v="98.300003000000004"/>
    <x v="3"/>
    <s v="Mar"/>
    <x v="3"/>
    <n v="2.020661861796288E-3"/>
    <n v="-1.9998211731674726E-2"/>
    <s v="Normal"/>
  </r>
  <r>
    <d v="2016-03-02T00:00:00"/>
    <n v="580.21002199999998"/>
    <n v="128.907028"/>
    <n v="425.35998499999999"/>
    <n v="97.610000999999997"/>
    <x v="3"/>
    <s v="Mar"/>
    <x v="3"/>
    <n v="-4.688012783067623E-3"/>
    <n v="-1.3635478664030861E-2"/>
    <s v="Normal"/>
  </r>
  <r>
    <d v="2016-03-03T00:00:00"/>
    <n v="577.48999000000003"/>
    <n v="128.69390899999999"/>
    <n v="419.55999800000001"/>
    <n v="97.93"/>
    <x v="3"/>
    <s v="Mar"/>
    <x v="3"/>
    <n v="-4.0692913136036969E-3"/>
    <n v="-2.4025138354586455E-2"/>
    <s v="Normal"/>
  </r>
  <r>
    <d v="2016-03-04T00:00:00"/>
    <n v="575.14001499999995"/>
    <n v="128.839203"/>
    <n v="409.48001099999999"/>
    <n v="101.58000199999999"/>
    <x v="3"/>
    <s v="Mar"/>
    <x v="3"/>
    <n v="-2.1455691967459375E-2"/>
    <n v="1.3162996618167101E-2"/>
    <s v="Normal"/>
  </r>
  <r>
    <d v="2016-03-07T00:00:00"/>
    <n v="562.79998799999998"/>
    <n v="129.83706699999999"/>
    <n v="414.86999500000002"/>
    <n v="95.489998"/>
    <x v="3"/>
    <s v="Mar"/>
    <x v="3"/>
    <n v="-4.5131095489647013E-3"/>
    <n v="-7.1588715399869413E-3"/>
    <s v="Normal"/>
  </r>
  <r>
    <d v="2016-03-08T00:00:00"/>
    <n v="560.26000999999997"/>
    <n v="130.05020099999999"/>
    <n v="411.89999399999999"/>
    <n v="96.230002999999996"/>
    <x v="3"/>
    <s v="Mar"/>
    <x v="3"/>
    <n v="-1.4101292005474009E-3"/>
    <n v="2.0879242838736972E-3"/>
    <s v="Normal"/>
  </r>
  <r>
    <d v="2016-03-09T00:00:00"/>
    <n v="559.46997099999999"/>
    <n v="129.60455300000001"/>
    <n v="412.76001000000002"/>
    <n v="98"/>
    <x v="3"/>
    <s v="Mar"/>
    <x v="3"/>
    <n v="-9.6515993349001244E-4"/>
    <n v="7.4376803121019262E-3"/>
    <s v="Normal"/>
  </r>
  <r>
    <d v="2016-03-10T00:00:00"/>
    <n v="558.92999299999997"/>
    <n v="128.85858200000001"/>
    <n v="415.82998700000002"/>
    <n v="97.360000999999997"/>
    <x v="3"/>
    <s v="Mar"/>
    <x v="3"/>
    <n v="1.9107924308510108E-2"/>
    <n v="7.8878342172085288E-3"/>
    <s v="Normal"/>
  </r>
  <r>
    <d v="2016-03-11T00:00:00"/>
    <n v="569.60998500000005"/>
    <n v="127.97444900000001"/>
    <n v="419.10998499999999"/>
    <n v="97.660004000000001"/>
    <x v="3"/>
    <s v="Mar"/>
    <x v="3"/>
    <n v="6.6010254367292482E-3"/>
    <n v="-1.1452809934843208E-2"/>
    <s v="Normal"/>
  </r>
  <r>
    <d v="2016-03-14T00:00:00"/>
    <n v="573.36999500000002"/>
    <n v="128.87802099999999"/>
    <n v="414.30999800000001"/>
    <n v="98.129997000000003"/>
    <x v="3"/>
    <s v="Mar"/>
    <x v="3"/>
    <n v="6.3659156074255818E-3"/>
    <n v="1.9792112282068933E-3"/>
    <s v="Normal"/>
  </r>
  <r>
    <d v="2016-03-15T00:00:00"/>
    <n v="577.02002000000005"/>
    <n v="127.46925400000001"/>
    <n v="415.13000499999998"/>
    <n v="97.860000999999997"/>
    <x v="3"/>
    <s v="Mar"/>
    <x v="3"/>
    <n v="-4.7658658359895373E-3"/>
    <n v="1.878927060451899E-3"/>
    <s v="Normal"/>
  </r>
  <r>
    <d v="2016-03-16T00:00:00"/>
    <n v="574.27002000000005"/>
    <n v="128.10076900000001"/>
    <n v="415.91000400000001"/>
    <n v="99.349997999999999"/>
    <x v="3"/>
    <s v="Mar"/>
    <x v="3"/>
    <n v="-2.5824120158666815E-2"/>
    <n v="5.4098241887925351E-3"/>
    <s v="Normal"/>
  </r>
  <r>
    <d v="2016-03-17T00:00:00"/>
    <n v="559.44000200000005"/>
    <n v="127.53723100000001"/>
    <n v="418.16000400000001"/>
    <n v="99.720000999999996"/>
    <x v="3"/>
    <s v="Mar"/>
    <x v="3"/>
    <n v="-1.3155986296453736E-2"/>
    <n v="-2.3914290951652085E-2"/>
    <s v="Normal"/>
  </r>
  <r>
    <d v="2016-03-18T00:00:00"/>
    <n v="552.080017"/>
    <n v="127.090317"/>
    <n v="408.16000400000001"/>
    <n v="101.120003"/>
    <x v="3"/>
    <s v="Mar"/>
    <x v="3"/>
    <n v="3.4414630877682303E-3"/>
    <n v="7.2275111992599348E-3"/>
    <s v="Normal"/>
  </r>
  <r>
    <d v="2016-03-21T00:00:00"/>
    <n v="553.97997999999995"/>
    <n v="127.440117"/>
    <n v="411.10998499999999"/>
    <n v="101.05999799999999"/>
    <x v="3"/>
    <s v="Mar"/>
    <x v="3"/>
    <n v="1.173327599311441E-2"/>
    <n v="1.240545398088545E-2"/>
    <s v="Normal"/>
  </r>
  <r>
    <d v="2016-03-22T00:00:00"/>
    <n v="560.47997999999995"/>
    <n v="127.01256600000001"/>
    <n v="416.209991"/>
    <n v="99.839995999999999"/>
    <x v="3"/>
    <s v="Mar"/>
    <x v="3"/>
    <n v="1.6325337793510534E-2"/>
    <n v="1.8500757229539648E-3"/>
    <s v="Normal"/>
  </r>
  <r>
    <d v="2016-03-23T00:00:00"/>
    <n v="569.63000499999998"/>
    <n v="126.41996"/>
    <n v="416.98001099999999"/>
    <n v="99.589995999999999"/>
    <x v="3"/>
    <s v="Mar"/>
    <x v="3"/>
    <n v="2.33836119640503E-2"/>
    <n v="-5.3720105062782329E-3"/>
    <s v="Normal"/>
  </r>
  <r>
    <d v="2016-03-24T00:00:00"/>
    <n v="582.95001200000002"/>
    <n v="125.079201"/>
    <n v="414.73998999999998"/>
    <n v="98.360000999999997"/>
    <x v="3"/>
    <s v="Mar"/>
    <x v="3"/>
    <n v="-5.2835010491431257E-3"/>
    <n v="6.269229065661657E-4"/>
    <s v="Normal"/>
  </r>
  <r>
    <d v="2016-03-28T00:00:00"/>
    <n v="579.86999500000002"/>
    <n v="125.47751599999999"/>
    <n v="415"/>
    <n v="101.209999"/>
    <x v="3"/>
    <s v="Mar"/>
    <x v="3"/>
    <n v="2.4126080191474702E-2"/>
    <n v="-6.1686698795180902E-3"/>
    <s v="Normal"/>
  </r>
  <r>
    <d v="2016-03-29T00:00:00"/>
    <n v="593.85998500000005"/>
    <n v="126.390793"/>
    <n v="412.44000199999999"/>
    <n v="104.129997"/>
    <x v="3"/>
    <s v="Mar"/>
    <x v="3"/>
    <n v="8.1332588859308261E-3"/>
    <n v="7.8072010095665313E-3"/>
    <s v="Normal"/>
  </r>
  <r>
    <d v="2016-03-30T00:00:00"/>
    <n v="598.69000200000005"/>
    <n v="127.245789"/>
    <n v="415.66000400000001"/>
    <n v="102.19000200000001"/>
    <x v="3"/>
    <s v="Mar"/>
    <x v="3"/>
    <n v="-8.4350615228749055E-3"/>
    <n v="-4.8089784457610652E-5"/>
    <s v="Normal"/>
  </r>
  <r>
    <d v="2016-03-31T00:00:00"/>
    <n v="593.64001499999995"/>
    <n v="128.11047400000001"/>
    <n v="415.64001500000001"/>
    <n v="102.230003"/>
    <x v="3"/>
    <s v="Mar"/>
    <x v="3"/>
    <n v="8.1867543918852093E-3"/>
    <n v="6.9050016755485321E-3"/>
    <s v="Normal"/>
  </r>
  <r>
    <d v="2016-04-01T00:00:00"/>
    <n v="598.5"/>
    <n v="129.67469800000001"/>
    <n v="418.51001000000002"/>
    <n v="105.699997"/>
    <x v="3"/>
    <s v="Apr"/>
    <x v="0"/>
    <n v="-8.8721771094401845E-3"/>
    <n v="8.5063604571846505E-3"/>
    <s v="Normal"/>
  </r>
  <r>
    <d v="2016-04-04T00:00:00"/>
    <n v="593.19000200000005"/>
    <n v="129.567825"/>
    <n v="422.07000699999998"/>
    <n v="104.349998"/>
    <x v="3"/>
    <s v="Apr"/>
    <x v="0"/>
    <n v="-1.1884871586220869E-2"/>
    <n v="-1.9191058036965726E-3"/>
    <s v="Normal"/>
  </r>
  <r>
    <d v="2016-04-05T00:00:00"/>
    <n v="586.14001499999995"/>
    <n v="128.55740399999999"/>
    <n v="421.26001000000002"/>
    <n v="104.94000200000001"/>
    <x v="3"/>
    <s v="Apr"/>
    <x v="0"/>
    <n v="2.7194870836450315E-2"/>
    <n v="-2.6586786626150846E-3"/>
    <s v="Normal"/>
  </r>
  <r>
    <d v="2016-04-06T00:00:00"/>
    <n v="602.080017"/>
    <n v="132.07444799999999"/>
    <n v="420.14001500000001"/>
    <n v="104.83000199999999"/>
    <x v="3"/>
    <s v="Apr"/>
    <x v="0"/>
    <n v="-1.7688718607646516E-2"/>
    <n v="-5.8314202706924089E-3"/>
    <s v="Normal"/>
  </r>
  <r>
    <d v="2016-04-07T00:00:00"/>
    <n v="591.42999299999997"/>
    <n v="132.38536099999999"/>
    <n v="417.69000199999999"/>
    <n v="104.449997"/>
    <x v="3"/>
    <s v="Apr"/>
    <x v="0"/>
    <n v="5.3598617545931627E-3"/>
    <n v="8.6184969301705274E-4"/>
    <s v="Normal"/>
  </r>
  <r>
    <d v="2016-04-08T00:00:00"/>
    <n v="594.59997599999997"/>
    <n v="133.15292400000001"/>
    <n v="418.04998799999998"/>
    <n v="103.80999799999999"/>
    <x v="3"/>
    <s v="Apr"/>
    <x v="0"/>
    <n v="2.2368265282271017E-3"/>
    <n v="1.6002875713513939E-2"/>
    <s v="Normal"/>
  </r>
  <r>
    <d v="2016-04-11T00:00:00"/>
    <n v="595.92999299999997"/>
    <n v="133.337479"/>
    <n v="424.73998999999998"/>
    <n v="102.68"/>
    <x v="3"/>
    <s v="Apr"/>
    <x v="0"/>
    <n v="1.2149061274048065E-2"/>
    <n v="-2.990038682253472E-3"/>
    <s v="Normal"/>
  </r>
  <r>
    <d v="2016-04-12T00:00:00"/>
    <n v="603.169983"/>
    <n v="132.85173"/>
    <n v="423.47000100000002"/>
    <n v="106.980003"/>
    <x v="3"/>
    <s v="Apr"/>
    <x v="0"/>
    <n v="1.9314661419416207E-2"/>
    <n v="1.298764962574019E-3"/>
    <s v="Normal"/>
  </r>
  <r>
    <d v="2016-04-13T00:00:00"/>
    <n v="614.82000700000003"/>
    <n v="133.24031099999999"/>
    <n v="424.01998900000001"/>
    <n v="109.650002"/>
    <x v="3"/>
    <s v="Apr"/>
    <x v="0"/>
    <n v="9.6450878834201097E-3"/>
    <n v="1.0966520731644031E-2"/>
    <s v="Normal"/>
  </r>
  <r>
    <d v="2016-04-14T00:00:00"/>
    <n v="620.75"/>
    <n v="133.366623"/>
    <n v="428.67001299999998"/>
    <n v="110.41999800000001"/>
    <x v="3"/>
    <s v="Apr"/>
    <x v="0"/>
    <n v="8.280330245670476E-3"/>
    <n v="3.2192011527524362E-3"/>
    <s v="Normal"/>
  </r>
  <r>
    <d v="2016-04-15T00:00:00"/>
    <n v="625.89001499999995"/>
    <n v="134.67825300000001"/>
    <n v="430.04998799999998"/>
    <n v="111.510002"/>
    <x v="3"/>
    <s v="Apr"/>
    <x v="0"/>
    <n v="1.5114414311274835E-2"/>
    <n v="1.132432306915911E-2"/>
    <s v="Normal"/>
  </r>
  <r>
    <d v="2016-04-18T00:00:00"/>
    <n v="635.34997599999997"/>
    <n v="134.70739699999999"/>
    <n v="434.92001299999998"/>
    <n v="108.400002"/>
    <x v="3"/>
    <s v="Apr"/>
    <x v="0"/>
    <n v="-1.1725745307968563E-2"/>
    <n v="1.4347445078366702E-2"/>
    <s v="Normal"/>
  </r>
  <r>
    <d v="2016-04-19T00:00:00"/>
    <n v="627.90002400000003"/>
    <n v="133.609497"/>
    <n v="441.16000400000001"/>
    <n v="94.339995999999999"/>
    <x v="3"/>
    <s v="Apr"/>
    <x v="0"/>
    <n v="8.1063319086606758E-3"/>
    <n v="1.8542007266823694E-2"/>
    <s v="Normal"/>
  </r>
  <r>
    <d v="2016-04-20T00:00:00"/>
    <n v="632.98999000000003"/>
    <n v="136.028717"/>
    <n v="449.33999599999999"/>
    <n v="96.769997000000004"/>
    <x v="3"/>
    <s v="Apr"/>
    <x v="0"/>
    <n v="-3.1437937904832181E-3"/>
    <n v="-9.035467655098323E-3"/>
    <s v="Normal"/>
  </r>
  <r>
    <d v="2016-04-21T00:00:00"/>
    <n v="631"/>
    <n v="133.978714"/>
    <n v="445.27999899999998"/>
    <n v="94.980002999999996"/>
    <x v="3"/>
    <s v="Apr"/>
    <x v="0"/>
    <n v="-1.664025356576862E-2"/>
    <n v="1.0779707174765875E-2"/>
    <s v="Normal"/>
  </r>
  <r>
    <d v="2016-04-22T00:00:00"/>
    <n v="620.5"/>
    <n v="128.64482100000001"/>
    <n v="450.07998700000002"/>
    <n v="95.900002000000001"/>
    <x v="3"/>
    <s v="Apr"/>
    <x v="0"/>
    <n v="9.1861595487510318E-3"/>
    <n v="3.53715194183917E-2"/>
    <s v="Normal"/>
  </r>
  <r>
    <d v="2016-04-25T00:00:00"/>
    <n v="626.20001200000002"/>
    <n v="129.86900299999999"/>
    <n v="466"/>
    <n v="93.559997999999993"/>
    <x v="3"/>
    <s v="Apr"/>
    <x v="0"/>
    <n v="-1.4883434719576517E-2"/>
    <n v="-4.0751051502145877E-2"/>
    <s v="Normal"/>
  </r>
  <r>
    <d v="2016-04-26T00:00:00"/>
    <n v="616.88000499999998"/>
    <n v="130.00502"/>
    <n v="447.01001000000002"/>
    <n v="92.43"/>
    <x v="3"/>
    <s v="Apr"/>
    <x v="0"/>
    <n v="-1.671313369931637E-2"/>
    <n v="3.2885191989324085E-3"/>
    <s v="Normal"/>
  </r>
  <r>
    <d v="2016-04-27T00:00:00"/>
    <n v="606.57000700000003"/>
    <n v="129.830139"/>
    <n v="448.48001099999999"/>
    <n v="91.040001000000004"/>
    <x v="3"/>
    <s v="Apr"/>
    <x v="0"/>
    <n v="-7.5341789855429371E-3"/>
    <n v="1.4493399573164031E-2"/>
    <s v="Normal"/>
  </r>
  <r>
    <d v="2016-04-28T00:00:00"/>
    <n v="602"/>
    <n v="117.04435700000001"/>
    <n v="454.98001099999999"/>
    <n v="90.279999000000004"/>
    <x v="3"/>
    <s v="Apr"/>
    <x v="0"/>
    <n v="9.566449667774081E-2"/>
    <n v="-1.4176473348408301E-2"/>
    <s v="Normal"/>
  </r>
  <r>
    <d v="2016-04-29T00:00:00"/>
    <n v="659.59002699999996"/>
    <n v="117.442688"/>
    <n v="448.52999899999998"/>
    <n v="90.029999000000004"/>
    <x v="3"/>
    <s v="Apr"/>
    <x v="0"/>
    <n v="3.6780345376568296E-2"/>
    <n v="3.8793168882334545E-3"/>
    <s v="Normal"/>
  </r>
  <r>
    <d v="2016-05-02T00:00:00"/>
    <n v="683.84997599999997"/>
    <n v="116.947197"/>
    <n v="450.26998900000001"/>
    <n v="93.110000999999997"/>
    <x v="3"/>
    <s v="May"/>
    <x v="0"/>
    <n v="-1.8322686904649301E-2"/>
    <n v="-9.9273793706025227E-3"/>
    <s v="Normal"/>
  </r>
  <r>
    <d v="2016-05-03T00:00:00"/>
    <n v="671.32000700000003"/>
    <n v="115.188667"/>
    <n v="445.79998799999998"/>
    <n v="91.540001000000004"/>
    <x v="3"/>
    <s v="May"/>
    <x v="0"/>
    <n v="-6.2560775132686013E-4"/>
    <n v="5.1143989712266035E-3"/>
    <s v="Normal"/>
  </r>
  <r>
    <d v="2016-05-04T00:00:00"/>
    <n v="670.90002400000003"/>
    <n v="115.63557400000001"/>
    <n v="448.07998700000002"/>
    <n v="90.790001000000004"/>
    <x v="3"/>
    <s v="May"/>
    <x v="0"/>
    <n v="-1.7603214454498313E-2"/>
    <n v="2.5620450216626144E-2"/>
    <s v="Normal"/>
  </r>
  <r>
    <d v="2016-05-05T00:00:00"/>
    <n v="659.09002699999996"/>
    <n v="116.519707"/>
    <n v="459.55999800000001"/>
    <n v="89.370002999999997"/>
    <x v="3"/>
    <s v="May"/>
    <x v="0"/>
    <n v="2.2546214312540419E-2"/>
    <n v="-2.393609114777664E-3"/>
    <s v="Normal"/>
  </r>
  <r>
    <d v="2016-05-06T00:00:00"/>
    <n v="673.95001200000002"/>
    <n v="115.91733600000001"/>
    <n v="458.459991"/>
    <n v="90.839995999999999"/>
    <x v="3"/>
    <s v="May"/>
    <x v="0"/>
    <n v="8.6059617133740548E-3"/>
    <n v="-1.984907337312234E-2"/>
    <s v="Normal"/>
  </r>
  <r>
    <d v="2016-05-09T00:00:00"/>
    <n v="679.75"/>
    <n v="118.054787"/>
    <n v="449.35998499999999"/>
    <n v="90.540001000000004"/>
    <x v="3"/>
    <s v="May"/>
    <x v="0"/>
    <n v="3.4306740713497659E-2"/>
    <n v="6.9877494766250837E-3"/>
    <s v="Normal"/>
  </r>
  <r>
    <d v="2016-05-10T00:00:00"/>
    <n v="703.07000700000003"/>
    <n v="118.744598"/>
    <n v="452.5"/>
    <n v="92.889999000000003"/>
    <x v="3"/>
    <s v="May"/>
    <x v="0"/>
    <n v="1.4450869613045408E-2"/>
    <n v="4.2651779005525407E-3"/>
    <s v="Normal"/>
  </r>
  <r>
    <d v="2016-05-11T00:00:00"/>
    <n v="713.22997999999995"/>
    <n v="116.422562"/>
    <n v="454.42999300000002"/>
    <n v="90.019997000000004"/>
    <x v="3"/>
    <s v="May"/>
    <x v="0"/>
    <n v="6.5897580469065718E-3"/>
    <n v="2.1565720024998227E-3"/>
    <s v="Normal"/>
  </r>
  <r>
    <d v="2016-05-12T00:00:00"/>
    <n v="717.92999299999997"/>
    <n v="118.006203"/>
    <n v="455.41000400000001"/>
    <n v="87.739998"/>
    <x v="3"/>
    <s v="May"/>
    <x v="0"/>
    <n v="-1.1157090632930231E-2"/>
    <n v="2.2616938384163771E-3"/>
    <s v="Normal"/>
  </r>
  <r>
    <d v="2016-05-13T00:00:00"/>
    <n v="709.919983"/>
    <n v="118.48226200000001"/>
    <n v="456.44000199999999"/>
    <n v="87.879997000000003"/>
    <x v="3"/>
    <s v="May"/>
    <x v="0"/>
    <n v="1.042356910243551E-3"/>
    <n v="-6.9888747393353854E-3"/>
    <s v="Normal"/>
  </r>
  <r>
    <d v="2016-05-16T00:00:00"/>
    <n v="710.65997300000004"/>
    <n v="119.66758"/>
    <n v="453.25"/>
    <n v="89.120002999999997"/>
    <x v="3"/>
    <s v="May"/>
    <x v="0"/>
    <n v="-2.1655860164787964E-2"/>
    <n v="2.1401014892444012E-3"/>
    <s v="Normal"/>
  </r>
  <r>
    <d v="2016-05-17T00:00:00"/>
    <n v="695.27002000000005"/>
    <n v="117.627296"/>
    <n v="454.22000100000002"/>
    <n v="88.629997000000003"/>
    <x v="3"/>
    <s v="May"/>
    <x v="0"/>
    <n v="3.1354609537169028E-3"/>
    <n v="-2.5450215698449637E-2"/>
    <s v="Normal"/>
  </r>
  <r>
    <d v="2016-05-18T00:00:00"/>
    <n v="697.45001200000002"/>
    <n v="117.68557699999999"/>
    <n v="442.66000400000001"/>
    <n v="90.5"/>
    <x v="3"/>
    <s v="May"/>
    <x v="0"/>
    <n v="1.5341715988099083E-3"/>
    <n v="-1.2425315028010079E-3"/>
    <s v="Normal"/>
  </r>
  <r>
    <d v="2016-05-19T00:00:00"/>
    <n v="698.52002000000005"/>
    <n v="117.384407"/>
    <n v="442.10998499999999"/>
    <n v="89.550003000000004"/>
    <x v="3"/>
    <s v="May"/>
    <x v="0"/>
    <n v="6.1271944646625011E-3"/>
    <n v="3.460745180862655E-3"/>
    <s v="Normal"/>
  </r>
  <r>
    <d v="2016-05-20T00:00:00"/>
    <n v="702.79998799999998"/>
    <n v="119.560699"/>
    <n v="443.64001500000001"/>
    <n v="92.489998"/>
    <x v="3"/>
    <s v="May"/>
    <x v="0"/>
    <n v="-8.6084065214867157E-3"/>
    <n v="5.5675095042993115E-3"/>
    <s v="Normal"/>
  </r>
  <r>
    <d v="2016-05-23T00:00:00"/>
    <n v="696.75"/>
    <n v="118.414253"/>
    <n v="446.10998499999999"/>
    <n v="94.889999000000003"/>
    <x v="3"/>
    <s v="May"/>
    <x v="0"/>
    <n v="1.0692518119842146E-2"/>
    <n v="8.2267022111150029E-3"/>
    <s v="Normal"/>
  </r>
  <r>
    <d v="2016-05-24T00:00:00"/>
    <n v="704.20001200000002"/>
    <n v="119.036064"/>
    <n v="449.77999899999998"/>
    <n v="97.889999000000003"/>
    <x v="3"/>
    <s v="May"/>
    <x v="0"/>
    <n v="5.8931609333740748E-3"/>
    <n v="7.8260238512740301E-3"/>
    <s v="Normal"/>
  </r>
  <r>
    <d v="2016-05-25T00:00:00"/>
    <n v="708.34997599999997"/>
    <n v="117.841042"/>
    <n v="453.29998799999998"/>
    <n v="100.199997"/>
    <x v="3"/>
    <s v="May"/>
    <x v="0"/>
    <n v="9.2609546442619876E-3"/>
    <n v="4.5775425875369757E-2"/>
    <s v="Normal"/>
  </r>
  <r>
    <d v="2016-05-26T00:00:00"/>
    <n v="714.90997300000004"/>
    <n v="119.502403"/>
    <n v="474.04998799999998"/>
    <n v="102.80999799999999"/>
    <x v="3"/>
    <s v="May"/>
    <x v="0"/>
    <n v="-3.7347122027069578E-3"/>
    <n v="0.10583268488554419"/>
    <s v="High Volatility"/>
  </r>
  <r>
    <d v="2016-05-27T00:00:00"/>
    <n v="712.23999000000003"/>
    <n v="118.705742"/>
    <n v="524.21997099999999"/>
    <n v="103.300003"/>
    <x v="3"/>
    <s v="May"/>
    <x v="0"/>
    <n v="1.4812406138554484E-2"/>
    <n v="2.5142218399001139E-2"/>
    <s v="Normal"/>
  </r>
  <r>
    <d v="2016-05-31T00:00:00"/>
    <n v="722.78997800000002"/>
    <n v="117.442688"/>
    <n v="537.40002400000003"/>
    <n v="102.57"/>
    <x v="3"/>
    <s v="May"/>
    <x v="0"/>
    <n v="-4.6347847949822704E-3"/>
    <n v="-5.5833268812816559E-4"/>
    <s v="Normal"/>
  </r>
  <r>
    <d v="2016-06-01T00:00:00"/>
    <n v="719.44000200000005"/>
    <n v="117.947914"/>
    <n v="537.09997599999997"/>
    <n v="101.510002"/>
    <x v="3"/>
    <s v="Jun"/>
    <x v="0"/>
    <n v="1.2231719080863653E-2"/>
    <n v="5.5725292007832904E-2"/>
    <s v="High Volatility"/>
  </r>
  <r>
    <d v="2016-06-02T00:00:00"/>
    <n v="728.23999000000003"/>
    <n v="119.745293"/>
    <n v="567.03002900000001"/>
    <n v="101.25"/>
    <x v="3"/>
    <s v="Jun"/>
    <x v="0"/>
    <n v="-3.7075854623144426E-3"/>
    <n v="8.6767591633140854E-3"/>
    <s v="Normal"/>
  </r>
  <r>
    <d v="2016-06-03T00:00:00"/>
    <n v="725.53997800000002"/>
    <n v="118.734871"/>
    <n v="571.95001200000002"/>
    <n v="99.589995999999999"/>
    <x v="3"/>
    <s v="Jun"/>
    <x v="0"/>
    <n v="1.6401604819630434E-3"/>
    <n v="6.3467172372399265E-3"/>
    <s v="Normal"/>
  </r>
  <r>
    <d v="2016-06-06T00:00:00"/>
    <n v="726.72997999999995"/>
    <n v="120.82373"/>
    <n v="575.580017"/>
    <n v="100.739998"/>
    <x v="3"/>
    <s v="Jun"/>
    <x v="0"/>
    <n v="-4.1143066644917011E-3"/>
    <n v="8.5652608749270873E-3"/>
    <s v="Normal"/>
  </r>
  <r>
    <d v="2016-06-07T00:00:00"/>
    <n v="723.73999000000003"/>
    <n v="121.27066000000001"/>
    <n v="580.51000999999997"/>
    <n v="99.889999000000003"/>
    <x v="3"/>
    <s v="Jun"/>
    <x v="0"/>
    <n v="4.0069984249452816E-3"/>
    <n v="-1.0025680694119153E-2"/>
    <s v="Normal"/>
  </r>
  <r>
    <d v="2016-06-08T00:00:00"/>
    <n v="726.64001499999995"/>
    <n v="122.79600499999999"/>
    <n v="574.69000200000005"/>
    <n v="97.860000999999997"/>
    <x v="3"/>
    <s v="Jun"/>
    <x v="0"/>
    <n v="1.3899716216427772E-3"/>
    <n v="5.5682419893567222E-3"/>
    <s v="Normal"/>
  </r>
  <r>
    <d v="2016-06-09T00:00:00"/>
    <n v="727.65002400000003"/>
    <n v="123.855034"/>
    <n v="577.89001499999995"/>
    <n v="97.089995999999999"/>
    <x v="3"/>
    <s v="Jun"/>
    <x v="0"/>
    <n v="-1.338562588984398E-2"/>
    <n v="2.3724170074127381E-2"/>
    <s v="Normal"/>
  </r>
  <r>
    <d v="2016-06-10T00:00:00"/>
    <n v="717.90997300000004"/>
    <n v="122.660004"/>
    <n v="591.59997599999997"/>
    <n v="93.75"/>
    <x v="3"/>
    <s v="Jun"/>
    <x v="0"/>
    <n v="-3.7191055987740151E-3"/>
    <n v="0.15811366260095991"/>
    <s v="High Volatility"/>
  </r>
  <r>
    <d v="2016-06-13T00:00:00"/>
    <n v="715.23999000000003"/>
    <n v="121.607536"/>
    <n v="685.14001499999995"/>
    <n v="93.849997999999999"/>
    <x v="3"/>
    <s v="Jun"/>
    <x v="0"/>
    <n v="5.6764135909122618E-3"/>
    <n v="8.2173057721640977E-3"/>
    <s v="Normal"/>
  </r>
  <r>
    <d v="2016-06-14T00:00:00"/>
    <n v="719.29998799999998"/>
    <n v="123.137497"/>
    <n v="690.77002000000005"/>
    <n v="94.120002999999997"/>
    <x v="3"/>
    <s v="Jun"/>
    <x v="0"/>
    <n v="-7.0067817101089943E-3"/>
    <n v="0.10197316032910625"/>
    <s v="High Volatility"/>
  </r>
  <r>
    <d v="2016-06-15T00:00:00"/>
    <n v="714.26000999999997"/>
    <n v="123.156982"/>
    <n v="761.21002199999998"/>
    <n v="94.290001000000004"/>
    <x v="3"/>
    <s v="Jun"/>
    <x v="0"/>
    <n v="4.5501637421924267E-3"/>
    <n v="-2.2740107854228895E-2"/>
    <s v="Normal"/>
  </r>
  <r>
    <d v="2016-06-16T00:00:00"/>
    <n v="717.51000999999997"/>
    <n v="123.71244799999999"/>
    <n v="743.90002400000003"/>
    <n v="95.440002000000007"/>
    <x v="3"/>
    <s v="Jun"/>
    <x v="0"/>
    <n v="-1.549803465459669E-2"/>
    <n v="1.3267906548689685E-2"/>
    <s v="Normal"/>
  </r>
  <r>
    <d v="2016-06-17T00:00:00"/>
    <n v="706.39001499999995"/>
    <n v="124.04377700000001"/>
    <n v="753.77002000000005"/>
    <n v="94.449996999999996"/>
    <x v="3"/>
    <s v="Jun"/>
    <x v="0"/>
    <n v="1.0787234867695599E-2"/>
    <n v="-0.11461057445611866"/>
    <s v="High Volatility"/>
  </r>
  <r>
    <d v="2016-06-20T00:00:00"/>
    <n v="714.01000999999997"/>
    <n v="124.238686"/>
    <n v="667.38000499999998"/>
    <n v="93.800003000000004"/>
    <x v="3"/>
    <s v="Jun"/>
    <x v="0"/>
    <n v="2.5349742645765804E-3"/>
    <n v="-0.11510684531221464"/>
    <s v="High Volatility"/>
  </r>
  <r>
    <d v="2016-06-21T00:00:00"/>
    <n v="715.82000700000003"/>
    <n v="124.08277099999999"/>
    <n v="590.55999799999995"/>
    <n v="90.989998"/>
    <x v="3"/>
    <s v="Jun"/>
    <x v="0"/>
    <n v="-7.2923792978030894E-3"/>
    <n v="5.1273416930619833E-2"/>
    <s v="High Volatility"/>
  </r>
  <r>
    <d v="2016-06-22T00:00:00"/>
    <n v="710.59997599999997"/>
    <n v="122.12402299999999"/>
    <n v="620.84002699999996"/>
    <n v="90.010002"/>
    <x v="3"/>
    <s v="Jun"/>
    <x v="0"/>
    <n v="1.6155419909555456E-2"/>
    <n v="5.8066468707243947E-2"/>
    <s v="High Volatility"/>
  </r>
  <r>
    <d v="2016-06-23T00:00:00"/>
    <n v="722.080017"/>
    <n v="124.00479900000001"/>
    <n v="656.89001499999995"/>
    <n v="91.660004000000001"/>
    <x v="3"/>
    <s v="Jun"/>
    <x v="0"/>
    <n v="-3.2018605217820365E-2"/>
    <n v="1.009302143221053E-2"/>
    <s v="Normal"/>
  </r>
  <r>
    <d v="2016-06-24T00:00:00"/>
    <n v="698.96002199999998"/>
    <n v="121.78295900000001"/>
    <n v="663.52002000000005"/>
    <n v="88.440002000000007"/>
    <x v="3"/>
    <s v="Jun"/>
    <x v="0"/>
    <n v="-1.0873350064075523E-2"/>
    <n v="-2.8077532611600921E-2"/>
    <s v="Normal"/>
  </r>
  <r>
    <d v="2016-06-27T00:00:00"/>
    <n v="691.35998500000005"/>
    <n v="118.96666"/>
    <n v="644.89001499999995"/>
    <n v="85.330001999999993"/>
    <x v="3"/>
    <s v="Jun"/>
    <x v="0"/>
    <n v="2.3996221013572201E-2"/>
    <n v="-1.2948001683666834E-2"/>
    <s v="Normal"/>
  </r>
  <r>
    <d v="2016-06-28T00:00:00"/>
    <n v="707.95001200000002"/>
    <n v="121.35417200000001"/>
    <n v="636.53997800000002"/>
    <n v="87.970000999999996"/>
    <x v="3"/>
    <s v="Jun"/>
    <x v="0"/>
    <n v="1.080579683640143E-2"/>
    <n v="5.2596919529224018E-2"/>
    <s v="High Volatility"/>
  </r>
  <r>
    <d v="2016-06-29T00:00:00"/>
    <n v="715.59997599999997"/>
    <n v="123.644234"/>
    <n v="670.02002000000005"/>
    <n v="91.059997999999993"/>
    <x v="3"/>
    <s v="Jun"/>
    <x v="0"/>
    <n v="2.7975126706890117E-5"/>
    <n v="6.7908224593050022E-3"/>
    <s v="Normal"/>
  </r>
  <r>
    <d v="2016-06-30T00:00:00"/>
    <n v="715.61999500000002"/>
    <n v="128.02946499999999"/>
    <n v="674.57000700000003"/>
    <n v="91.480002999999996"/>
    <x v="3"/>
    <s v="Jun"/>
    <x v="0"/>
    <n v="1.40577374448571E-2"/>
    <n v="3.4822169317112725E-2"/>
    <s v="Normal"/>
  </r>
  <r>
    <d v="2016-07-01T00:00:00"/>
    <n v="725.67999299999997"/>
    <n v="129.208618"/>
    <n v="698.05999799999995"/>
    <n v="96.669998000000007"/>
    <x v="3"/>
    <s v="Jul"/>
    <x v="1"/>
    <n v="3.3347798249138199E-3"/>
    <n v="-3.6329235413371928E-2"/>
    <s v="Normal"/>
  </r>
  <r>
    <d v="2016-07-05T00:00:00"/>
    <n v="728.09997599999997"/>
    <n v="130.51443499999999"/>
    <n v="672.70001200000002"/>
    <n v="97.910004000000001"/>
    <x v="3"/>
    <s v="Jul"/>
    <x v="1"/>
    <n v="1.3061405457318794E-2"/>
    <n v="-5.5671192703947825E-2"/>
    <s v="High Volatility"/>
  </r>
  <r>
    <d v="2016-07-06T00:00:00"/>
    <n v="737.60998500000005"/>
    <n v="131.53762800000001"/>
    <n v="635.25"/>
    <n v="94.599997999999999"/>
    <x v="3"/>
    <s v="Jul"/>
    <x v="1"/>
    <n v="-1.4099293951396537E-3"/>
    <n v="4.3337314443132643E-2"/>
    <s v="Normal"/>
  </r>
  <r>
    <d v="2016-07-07T00:00:00"/>
    <n v="736.57000700000003"/>
    <n v="130.44622799999999"/>
    <n v="662.78002900000001"/>
    <n v="95.099997999999999"/>
    <x v="3"/>
    <s v="Jul"/>
    <x v="1"/>
    <n v="1.2544620215577035E-2"/>
    <n v="-1.6521336674132067E-2"/>
    <s v="Normal"/>
  </r>
  <r>
    <d v="2016-07-08T00:00:00"/>
    <n v="745.80999799999995"/>
    <n v="131.664368"/>
    <n v="651.830017"/>
    <n v="97.059997999999993"/>
    <x v="3"/>
    <s v="Jul"/>
    <x v="1"/>
    <n v="1.0686409435878954E-2"/>
    <n v="2.873445608749858E-2"/>
    <s v="Normal"/>
  </r>
  <r>
    <d v="2016-07-11T00:00:00"/>
    <n v="753.78002900000001"/>
    <n v="132.53164699999999"/>
    <n v="670.55999799999995"/>
    <n v="94.669998000000007"/>
    <x v="3"/>
    <s v="Jul"/>
    <x v="1"/>
    <n v="-7.3894329720959381E-3"/>
    <n v="-1.4033008273780031E-2"/>
    <s v="Normal"/>
  </r>
  <r>
    <d v="2016-07-12T00:00:00"/>
    <n v="748.21002199999998"/>
    <n v="132.19056699999999"/>
    <n v="661.15002400000003"/>
    <n v="95.970000999999996"/>
    <x v="3"/>
    <s v="Jul"/>
    <x v="1"/>
    <n v="-7.4578217825582646E-3"/>
    <n v="-5.8988487611399227E-3"/>
    <s v="Normal"/>
  </r>
  <r>
    <d v="2016-07-13T00:00:00"/>
    <n v="742.63000499999998"/>
    <n v="131.96644599999999"/>
    <n v="657.25"/>
    <n v="96.43"/>
    <x v="3"/>
    <s v="Jul"/>
    <x v="1"/>
    <n v="-1.9255793468780833E-3"/>
    <n v="1.0574381133510865E-2"/>
    <s v="Normal"/>
  </r>
  <r>
    <d v="2016-07-14T00:00:00"/>
    <n v="741.20001200000002"/>
    <n v="132.18083200000001"/>
    <n v="664.20001200000002"/>
    <n v="98.019997000000004"/>
    <x v="3"/>
    <s v="Jul"/>
    <x v="1"/>
    <n v="-7.771195233062092E-3"/>
    <n v="-5.2845678057590363E-3"/>
    <s v="Normal"/>
  </r>
  <r>
    <d v="2016-07-15T00:00:00"/>
    <n v="735.44000200000005"/>
    <n v="132.239304"/>
    <n v="660.69000200000005"/>
    <n v="98.389999000000003"/>
    <x v="3"/>
    <s v="Jul"/>
    <x v="1"/>
    <n v="8.5663684092068576E-4"/>
    <n v="1.5756215424007458E-2"/>
    <s v="Normal"/>
  </r>
  <r>
    <d v="2016-07-18T00:00:00"/>
    <n v="736.07000700000003"/>
    <n v="132.09314000000001"/>
    <n v="671.09997599999997"/>
    <n v="98.809997999999993"/>
    <x v="3"/>
    <s v="Jul"/>
    <x v="1"/>
    <n v="5.2712445325869429E-3"/>
    <n v="-9.9835378328190245E-3"/>
    <s v="Normal"/>
  </r>
  <r>
    <d v="2016-07-19T00:00:00"/>
    <n v="739.95001200000002"/>
    <n v="132.09314000000001"/>
    <n v="664.40002400000003"/>
    <n v="85.839995999999999"/>
    <x v="3"/>
    <s v="Jul"/>
    <x v="1"/>
    <n v="7.7977686417011255E-3"/>
    <n v="3.310821674503534E-4"/>
    <s v="Normal"/>
  </r>
  <r>
    <d v="2016-07-20T00:00:00"/>
    <n v="745.71997099999999"/>
    <n v="133.398956"/>
    <n v="664.61999500000002"/>
    <n v="87.910004000000001"/>
    <x v="3"/>
    <s v="Jul"/>
    <x v="1"/>
    <n v="-1.7298423673301612E-3"/>
    <n v="-2.0327420332877533E-2"/>
    <s v="Normal"/>
  </r>
  <r>
    <d v="2016-07-21T00:00:00"/>
    <n v="744.42999299999997"/>
    <n v="140.97084000000001"/>
    <n v="651.10998500000005"/>
    <n v="85.989998"/>
    <x v="3"/>
    <s v="Jul"/>
    <x v="1"/>
    <n v="5.7761240686615364E-4"/>
    <n v="6.2201288465880073E-3"/>
    <s v="Normal"/>
  </r>
  <r>
    <d v="2016-07-22T00:00:00"/>
    <n v="744.85998500000005"/>
    <n v="144.98573300000001"/>
    <n v="655.15997300000004"/>
    <n v="85.889999000000003"/>
    <x v="3"/>
    <s v="Jul"/>
    <x v="1"/>
    <n v="-7.0483045212852988E-3"/>
    <n v="-1.1905000795890402E-3"/>
    <s v="Normal"/>
  </r>
  <r>
    <d v="2016-07-25T00:00:00"/>
    <n v="739.60998500000005"/>
    <n v="143.923553"/>
    <n v="654.38000499999998"/>
    <n v="87.660004000000001"/>
    <x v="3"/>
    <s v="Jul"/>
    <x v="1"/>
    <n v="-5.4352403043883835E-3"/>
    <n v="2.4446498789344327E-4"/>
    <s v="Normal"/>
  </r>
  <r>
    <d v="2016-07-26T00:00:00"/>
    <n v="735.59002699999996"/>
    <n v="142.40330499999999"/>
    <n v="654.53997800000002"/>
    <n v="91.410004000000001"/>
    <x v="3"/>
    <s v="Jul"/>
    <x v="1"/>
    <n v="1.4681493228021136E-3"/>
    <n v="-6.2635287954869022E-4"/>
    <s v="Normal"/>
  </r>
  <r>
    <d v="2016-07-27T00:00:00"/>
    <n v="736.669983"/>
    <n v="143.47524999999999"/>
    <n v="654.13000499999998"/>
    <n v="92.040001000000004"/>
    <x v="3"/>
    <s v="Jul"/>
    <x v="1"/>
    <n v="2.1637914354927706E-2"/>
    <n v="1.9873541804583399E-3"/>
    <s v="Normal"/>
  </r>
  <r>
    <d v="2016-07-28T00:00:00"/>
    <n v="752.60998500000005"/>
    <n v="143.49473599999999"/>
    <n v="655.42999299999997"/>
    <n v="91.650002000000001"/>
    <x v="3"/>
    <s v="Jul"/>
    <x v="1"/>
    <n v="8.2380158695342029E-3"/>
    <n v="-1.0527485885131493E-3"/>
    <s v="Normal"/>
  </r>
  <r>
    <d v="2016-07-29T00:00:00"/>
    <n v="758.80999799999995"/>
    <n v="143.54345699999999"/>
    <n v="654.73999000000003"/>
    <n v="91.25"/>
    <x v="3"/>
    <s v="Jul"/>
    <x v="1"/>
    <n v="1.1768416367123414E-2"/>
    <n v="-0.21582612817035976"/>
    <s v="High Volatility"/>
  </r>
  <r>
    <d v="2016-08-01T00:00:00"/>
    <n v="767.73999000000003"/>
    <n v="143.75787399999999"/>
    <n v="513.42999299999997"/>
    <n v="94.370002999999997"/>
    <x v="3"/>
    <s v="Aug"/>
    <x v="1"/>
    <n v="-9.326038884596901E-3"/>
    <n v="0.10324681012548499"/>
    <s v="High Volatility"/>
  </r>
  <r>
    <d v="2016-08-02T00:00:00"/>
    <n v="760.580017"/>
    <n v="141.74066199999999"/>
    <n v="566.44000200000005"/>
    <n v="93.559997999999993"/>
    <x v="3"/>
    <s v="Aug"/>
    <x v="1"/>
    <n v="-7.809831795778102E-3"/>
    <n v="1.7265675032604663E-2"/>
    <s v="Normal"/>
  </r>
  <r>
    <d v="2016-08-03T00:00:00"/>
    <n v="754.64001499999995"/>
    <n v="142.43254099999999"/>
    <n v="576.21997099999999"/>
    <n v="93.099997999999999"/>
    <x v="3"/>
    <s v="Aug"/>
    <x v="1"/>
    <n v="8.1230850182256731E-3"/>
    <n v="-2.7072959607641759E-3"/>
    <s v="Normal"/>
  </r>
  <r>
    <d v="2016-08-04T00:00:00"/>
    <n v="760.77002000000005"/>
    <n v="142.76387"/>
    <n v="574.65997300000004"/>
    <n v="93.440002000000007"/>
    <x v="3"/>
    <s v="Aug"/>
    <x v="1"/>
    <n v="6.848271965291048E-3"/>
    <n v="2.0516548139676988E-2"/>
    <s v="Normal"/>
  </r>
  <r>
    <d v="2016-08-05T00:00:00"/>
    <n v="765.97997999999995"/>
    <n v="142.452011"/>
    <n v="586.45001200000002"/>
    <n v="97.029999000000004"/>
    <x v="3"/>
    <s v="Aug"/>
    <x v="1"/>
    <n v="7.5722344597047497E-4"/>
    <n v="-2.0462306683353177E-3"/>
    <s v="Normal"/>
  </r>
  <r>
    <d v="2016-08-08T00:00:00"/>
    <n v="766.55999799999995"/>
    <n v="141.009781"/>
    <n v="585.25"/>
    <n v="95.110000999999997"/>
    <x v="3"/>
    <s v="Aug"/>
    <x v="1"/>
    <n v="2.2829263261399664E-3"/>
    <n v="9.7223442973089266E-3"/>
    <s v="Normal"/>
  </r>
  <r>
    <d v="2016-08-09T00:00:00"/>
    <n v="768.30999799999995"/>
    <n v="141.22416699999999"/>
    <n v="590.94000200000005"/>
    <n v="93.989998"/>
    <x v="3"/>
    <s v="Aug"/>
    <x v="1"/>
    <n v="3.253894920680181E-4"/>
    <n v="-5.2458371230724122E-3"/>
    <s v="Normal"/>
  </r>
  <r>
    <d v="2016-08-10T00:00:00"/>
    <n v="768.55999799999995"/>
    <n v="141.30212399999999"/>
    <n v="587.84002699999996"/>
    <n v="93.93"/>
    <x v="3"/>
    <s v="Aug"/>
    <x v="1"/>
    <n v="3.487030299487541E-3"/>
    <n v="-1.1908205767689501E-3"/>
    <s v="Normal"/>
  </r>
  <r>
    <d v="2016-08-11T00:00:00"/>
    <n v="771.23999000000003"/>
    <n v="142.29612700000001"/>
    <n v="587.14001499999995"/>
    <n v="95.889999000000003"/>
    <x v="3"/>
    <s v="Aug"/>
    <x v="1"/>
    <n v="1.7115398800831322E-3"/>
    <n v="-4.3430662786626542E-3"/>
    <s v="Normal"/>
  </r>
  <r>
    <d v="2016-08-12T00:00:00"/>
    <n v="772.55999799999995"/>
    <n v="142.40330499999999"/>
    <n v="584.59002699999996"/>
    <n v="96.589995999999999"/>
    <x v="3"/>
    <s v="Aug"/>
    <x v="1"/>
    <n v="-5.2682096025374542E-3"/>
    <n v="-7.5266850216038914E-3"/>
    <s v="Normal"/>
  </r>
  <r>
    <d v="2016-08-15T00:00:00"/>
    <n v="768.48999000000003"/>
    <n v="141.44828799999999"/>
    <n v="580.19000200000005"/>
    <n v="95.309997999999993"/>
    <x v="3"/>
    <s v="Aug"/>
    <x v="1"/>
    <n v="-5.7905920153885349E-3"/>
    <n v="-1.353000736472547E-2"/>
    <s v="Normal"/>
  </r>
  <r>
    <d v="2016-08-16T00:00:00"/>
    <n v="764.03997800000002"/>
    <n v="140.298416"/>
    <n v="572.34002699999996"/>
    <n v="95.120002999999997"/>
    <x v="3"/>
    <s v="Aug"/>
    <x v="1"/>
    <n v="7.7224623971177027E-4"/>
    <n v="1.8345528015988035E-3"/>
    <s v="Normal"/>
  </r>
  <r>
    <d v="2016-08-17T00:00:00"/>
    <n v="764.63000499999998"/>
    <n v="140.88310200000001"/>
    <n v="573.39001499999995"/>
    <n v="96.370002999999997"/>
    <x v="3"/>
    <s v="Aug"/>
    <x v="1"/>
    <n v="-2.223075198311136E-4"/>
    <n v="2.0404662958771651E-3"/>
    <s v="Normal"/>
  </r>
  <r>
    <d v="2016-08-18T00:00:00"/>
    <n v="764.46002199999998"/>
    <n v="143.37782300000001"/>
    <n v="574.55999799999995"/>
    <n v="96.160004000000001"/>
    <x v="3"/>
    <s v="Aug"/>
    <x v="1"/>
    <n v="-9.3530384771383507E-3"/>
    <n v="1.4010698670324246E-2"/>
    <s v="Normal"/>
  </r>
  <r>
    <d v="2016-08-19T00:00:00"/>
    <n v="757.30999799999995"/>
    <n v="143.52398700000001"/>
    <n v="582.60998500000005"/>
    <n v="95.870002999999997"/>
    <x v="3"/>
    <s v="Aug"/>
    <x v="1"/>
    <n v="2.8653814233679307E-3"/>
    <n v="1.6306157197080976E-3"/>
    <s v="Normal"/>
  </r>
  <r>
    <d v="2016-08-22T00:00:00"/>
    <n v="759.47997999999995"/>
    <n v="146.24285900000001"/>
    <n v="583.55999799999995"/>
    <n v="95.260002"/>
    <x v="3"/>
    <s v="Aug"/>
    <x v="1"/>
    <n v="3.9106126273401711E-3"/>
    <n v="-6.6831602806330711E-3"/>
    <s v="Normal"/>
  </r>
  <r>
    <d v="2016-08-23T00:00:00"/>
    <n v="762.45001200000002"/>
    <n v="146.64238"/>
    <n v="579.65997300000004"/>
    <n v="95.940002000000007"/>
    <x v="3"/>
    <s v="Aug"/>
    <x v="1"/>
    <n v="-6.8201349834853368E-3"/>
    <n v="-2.9326692874825349E-3"/>
    <s v="Normal"/>
  </r>
  <r>
    <d v="2016-08-24T00:00:00"/>
    <n v="757.25"/>
    <n v="145.99923699999999"/>
    <n v="577.96002199999998"/>
    <n v="95.18"/>
    <x v="3"/>
    <s v="Aug"/>
    <x v="1"/>
    <n v="2.6014803565533005E-3"/>
    <n v="2.4395683893859987E-3"/>
    <s v="Normal"/>
  </r>
  <r>
    <d v="2016-08-25T00:00:00"/>
    <n v="759.21997099999999"/>
    <n v="146.408524"/>
    <n v="579.36999500000002"/>
    <n v="97.32"/>
    <x v="3"/>
    <s v="Aug"/>
    <x v="1"/>
    <n v="1.2881680374026955E-2"/>
    <n v="-1.5568667825126234E-2"/>
    <s v="Normal"/>
  </r>
  <r>
    <d v="2016-08-26T00:00:00"/>
    <n v="769"/>
    <n v="144.566711"/>
    <n v="570.34997599999997"/>
    <n v="97.580001999999993"/>
    <x v="3"/>
    <s v="Aug"/>
    <x v="1"/>
    <n v="2.9778647594278533E-3"/>
    <n v="1.2220621185754312E-2"/>
    <s v="Normal"/>
  </r>
  <r>
    <d v="2016-08-29T00:00:00"/>
    <n v="771.28997800000002"/>
    <n v="146.16487100000001"/>
    <n v="577.32000700000003"/>
    <n v="97.300003000000004"/>
    <x v="3"/>
    <s v="Aug"/>
    <x v="1"/>
    <n v="-4.8100728724884603E-3"/>
    <n v="-5.9585705644877281E-3"/>
    <s v="Normal"/>
  </r>
  <r>
    <d v="2016-08-30T00:00:00"/>
    <n v="767.580017"/>
    <n v="145.619156"/>
    <n v="573.88000499999998"/>
    <n v="97.449996999999996"/>
    <x v="3"/>
    <s v="Aug"/>
    <x v="1"/>
    <n v="2.0583599950596923E-3"/>
    <n v="-3.2933975457115788E-3"/>
    <s v="Normal"/>
  </r>
  <r>
    <d v="2016-08-31T00:00:00"/>
    <n v="769.15997300000004"/>
    <n v="145.75559999999999"/>
    <n v="571.98999000000003"/>
    <n v="97.449996999999996"/>
    <x v="3"/>
    <s v="Aug"/>
    <x v="1"/>
    <n v="1.8982033013306332E-3"/>
    <n v="5.769310753147943E-3"/>
    <s v="Normal"/>
  </r>
  <r>
    <d v="2016-09-01T00:00:00"/>
    <n v="770.61999500000002"/>
    <n v="145.20983899999999"/>
    <n v="575.28997800000002"/>
    <n v="97.379997000000003"/>
    <x v="3"/>
    <s v="Sep"/>
    <x v="1"/>
    <n v="2.3617438060376727E-3"/>
    <n v="4.0935962559041736E-2"/>
    <s v="Normal"/>
  </r>
  <r>
    <d v="2016-09-02T00:00:00"/>
    <n v="772.44000200000005"/>
    <n v="147.14909399999999"/>
    <n v="598.84002699999996"/>
    <n v="97.379997000000003"/>
    <x v="3"/>
    <s v="Sep"/>
    <x v="1"/>
    <n v="2.1270251356039903E-2"/>
    <n v="2.3996383595113319E-2"/>
    <s v="Normal"/>
  </r>
  <r>
    <d v="2016-09-06T00:00:00"/>
    <n v="788.86999500000002"/>
    <n v="146.35003699999999"/>
    <n v="613.21002199999998"/>
    <n v="100.089996"/>
    <x v="3"/>
    <s v="Sep"/>
    <x v="1"/>
    <n v="-5.5649410268165441E-3"/>
    <n v="2.0156201882819278E-2"/>
    <s v="Normal"/>
  </r>
  <r>
    <d v="2016-09-07T00:00:00"/>
    <n v="784.47997999999995"/>
    <n v="146.64238"/>
    <n v="625.57000700000003"/>
    <n v="99.150002000000001"/>
    <x v="3"/>
    <s v="Sep"/>
    <x v="1"/>
    <n v="-5.3536356657566265E-4"/>
    <n v="-3.8525408396058156E-3"/>
    <s v="Normal"/>
  </r>
  <r>
    <d v="2016-09-08T00:00:00"/>
    <n v="784.05999799999995"/>
    <n v="145.43400600000001"/>
    <n v="623.15997300000004"/>
    <n v="99.660004000000001"/>
    <x v="3"/>
    <s v="Sep"/>
    <x v="1"/>
    <n v="-3.0507847691523225E-2"/>
    <n v="2.1825005759797231E-3"/>
    <s v="Normal"/>
  </r>
  <r>
    <d v="2016-09-09T00:00:00"/>
    <n v="760.14001499999995"/>
    <n v="142.40330499999999"/>
    <n v="624.52002000000005"/>
    <n v="96.5"/>
    <x v="3"/>
    <s v="Sep"/>
    <x v="1"/>
    <n v="1.4931426810888368E-2"/>
    <n v="-2.5475620461294406E-2"/>
    <s v="Normal"/>
  </r>
  <r>
    <d v="2016-09-12T00:00:00"/>
    <n v="771.48999000000003"/>
    <n v="146.379288"/>
    <n v="608.60998500000005"/>
    <n v="99.050003000000004"/>
    <x v="3"/>
    <s v="Sep"/>
    <x v="1"/>
    <n v="-1.3584077740269927E-2"/>
    <n v="1.5280607004828676E-3"/>
    <s v="Normal"/>
  </r>
  <r>
    <d v="2016-09-13T00:00:00"/>
    <n v="761.01000999999997"/>
    <n v="146.21318099999999"/>
    <n v="609.53997800000002"/>
    <n v="96.089995999999999"/>
    <x v="3"/>
    <s v="Sep"/>
    <x v="1"/>
    <n v="1.0514579170909724E-4"/>
    <n v="-2.3460200341444506E-3"/>
    <s v="Normal"/>
  </r>
  <r>
    <d v="2016-09-14T00:00:00"/>
    <n v="761.09002699999996"/>
    <n v="146.83843999999999"/>
    <n v="608.10998500000005"/>
    <n v="97.010002"/>
    <x v="3"/>
    <s v="Sep"/>
    <x v="1"/>
    <n v="1.1299550243614067E-2"/>
    <n v="-5.4259263642914576E-4"/>
    <s v="Normal"/>
  </r>
  <r>
    <d v="2016-09-15T00:00:00"/>
    <n v="769.69000200000005"/>
    <n v="148.294128"/>
    <n v="607.78002900000001"/>
    <n v="97.339995999999999"/>
    <x v="3"/>
    <s v="Sep"/>
    <x v="1"/>
    <n v="1.1472174482006582E-2"/>
    <n v="-1.1517522238296764E-3"/>
    <s v="Normal"/>
  </r>
  <r>
    <d v="2016-09-16T00:00:00"/>
    <n v="778.52002000000005"/>
    <n v="146.57463100000001"/>
    <n v="607.080017"/>
    <n v="99.480002999999996"/>
    <x v="3"/>
    <s v="Sep"/>
    <x v="1"/>
    <n v="-4.3930071316599867E-3"/>
    <n v="3.5579708432406472E-3"/>
    <s v="Normal"/>
  </r>
  <r>
    <d v="2016-09-19T00:00:00"/>
    <n v="775.09997599999997"/>
    <n v="148.02056899999999"/>
    <n v="609.23999000000003"/>
    <n v="98.059997999999993"/>
    <x v="3"/>
    <s v="Sep"/>
    <x v="1"/>
    <n v="6.6055930312659663E-3"/>
    <n v="-1.9828010633379464E-2"/>
    <s v="Normal"/>
  </r>
  <r>
    <d v="2016-09-20T00:00:00"/>
    <n v="780.21997099999999"/>
    <n v="148.44065900000001"/>
    <n v="597.15997300000004"/>
    <n v="98.25"/>
    <x v="3"/>
    <s v="Sep"/>
    <x v="1"/>
    <n v="1.2201711509381562E-2"/>
    <n v="-2.5620739319044301E-3"/>
    <s v="Normal"/>
  </r>
  <r>
    <d v="2016-09-21T00:00:00"/>
    <n v="789.73999000000003"/>
    <n v="149.09522999999999"/>
    <n v="595.63000499999998"/>
    <n v="94.879997000000003"/>
    <x v="3"/>
    <s v="Sep"/>
    <x v="1"/>
    <n v="1.8942971344277474E-2"/>
    <n v="1.223910471065006E-2"/>
    <s v="Normal"/>
  </r>
  <r>
    <d v="2016-09-22T00:00:00"/>
    <n v="804.70001200000002"/>
    <n v="150.531387"/>
    <n v="602.919983"/>
    <n v="95.830001999999993"/>
    <x v="3"/>
    <s v="Sep"/>
    <x v="1"/>
    <n v="1.3048191678167701E-3"/>
    <n v="-5.4726333394731477E-4"/>
    <s v="Normal"/>
  </r>
  <r>
    <d v="2016-09-23T00:00:00"/>
    <n v="805.75"/>
    <n v="150.70721399999999"/>
    <n v="602.59002699999996"/>
    <n v="95.940002000000007"/>
    <x v="3"/>
    <s v="Sep"/>
    <x v="1"/>
    <n v="-8.1787489916226672E-3"/>
    <n v="4.7792759105852629E-3"/>
    <s v="Normal"/>
  </r>
  <r>
    <d v="2016-09-26T00:00:00"/>
    <n v="799.15997300000004"/>
    <n v="149.95498699999999"/>
    <n v="605.46997099999999"/>
    <n v="94.559997999999993"/>
    <x v="3"/>
    <s v="Sep"/>
    <x v="1"/>
    <n v="2.1209785991120972E-2"/>
    <n v="-1.321267838731485E-3"/>
    <s v="Normal"/>
  </r>
  <r>
    <d v="2016-09-27T00:00:00"/>
    <n v="816.10998500000005"/>
    <n v="150.09175099999999"/>
    <n v="604.669983"/>
    <n v="97.07"/>
    <x v="3"/>
    <s v="Sep"/>
    <x v="1"/>
    <n v="1.5451331599624939E-2"/>
    <n v="4.9661800394039381E-5"/>
    <s v="Normal"/>
  </r>
  <r>
    <d v="2016-09-28T00:00:00"/>
    <n v="828.71997099999999"/>
    <n v="149.261337"/>
    <n v="604.70001200000002"/>
    <n v="97.480002999999996"/>
    <x v="3"/>
    <s v="Sep"/>
    <x v="1"/>
    <n v="3.982249873884094E-4"/>
    <n v="5.6887761397959643E-3"/>
    <s v="Normal"/>
  </r>
  <r>
    <d v="2016-09-29T00:00:00"/>
    <n v="829.04998799999998"/>
    <n v="148.255066"/>
    <n v="608.14001499999995"/>
    <n v="96.669998000000007"/>
    <x v="3"/>
    <s v="Sep"/>
    <x v="1"/>
    <n v="9.9632231102570936E-3"/>
    <n v="8.6656984740596105E-3"/>
    <s v="Normal"/>
  </r>
  <r>
    <d v="2016-09-30T00:00:00"/>
    <n v="837.30999799999995"/>
    <n v="148.352722"/>
    <n v="613.40997300000004"/>
    <n v="98.550003000000004"/>
    <x v="3"/>
    <s v="Sep"/>
    <x v="1"/>
    <n v="-6.8076101009355934E-4"/>
    <n v="-7.2544484046072975E-3"/>
    <s v="Normal"/>
  </r>
  <r>
    <d v="2016-10-03T00:00:00"/>
    <n v="836.73999000000003"/>
    <n v="148.088989"/>
    <n v="608.96002199999998"/>
    <n v="102.629997"/>
    <x v="3"/>
    <s v="Oct"/>
    <x v="2"/>
    <n v="-3.2387133785729797E-3"/>
    <n v="4.6965069900763564E-3"/>
    <s v="Normal"/>
  </r>
  <r>
    <d v="2016-10-04T00:00:00"/>
    <n v="834.03002900000001"/>
    <n v="147.98149100000001"/>
    <n v="611.82000700000003"/>
    <n v="102.339996"/>
    <x v="3"/>
    <s v="Oct"/>
    <x v="2"/>
    <n v="1.2385592413723556E-2"/>
    <n v="-1.3893563307419685E-3"/>
    <s v="Normal"/>
  </r>
  <r>
    <d v="2016-10-05T00:00:00"/>
    <n v="844.35998500000005"/>
    <n v="147.493011"/>
    <n v="610.96997099999999"/>
    <n v="106.279999"/>
    <x v="3"/>
    <s v="Oct"/>
    <x v="2"/>
    <n v="-3.1977024586261216E-3"/>
    <n v="8.2820076929771506E-3"/>
    <s v="Normal"/>
  </r>
  <r>
    <d v="2016-10-06T00:00:00"/>
    <n v="841.65997300000004"/>
    <n v="147.64932300000001"/>
    <n v="616.03002900000001"/>
    <n v="105.07"/>
    <x v="3"/>
    <s v="Oct"/>
    <x v="2"/>
    <n v="-2.6495022592693362E-3"/>
    <n v="2.6297338177324746E-3"/>
    <s v="Normal"/>
  </r>
  <r>
    <d v="2016-10-07T00:00:00"/>
    <n v="839.42999299999997"/>
    <n v="147.366028"/>
    <n v="617.65002400000003"/>
    <n v="104.82"/>
    <x v="3"/>
    <s v="Oct"/>
    <x v="2"/>
    <n v="2.7161633715892413E-3"/>
    <n v="3.69140890699617E-2"/>
    <s v="Normal"/>
  </r>
  <r>
    <d v="2016-10-10T00:00:00"/>
    <n v="841.71002199999998"/>
    <n v="149.66189600000001"/>
    <n v="640.45001200000002"/>
    <n v="103.33000199999999"/>
    <x v="3"/>
    <s v="Oct"/>
    <x v="2"/>
    <n v="-1.2724123177898885E-2"/>
    <n v="-6.9638877608452299E-3"/>
    <s v="Normal"/>
  </r>
  <r>
    <d v="2016-10-11T00:00:00"/>
    <n v="831"/>
    <n v="148.870544"/>
    <n v="635.98999000000003"/>
    <n v="100.589996"/>
    <x v="3"/>
    <s v="Oct"/>
    <x v="2"/>
    <n v="3.7184440433212559E-3"/>
    <n v="-6.1323921151662259E-4"/>
    <s v="Normal"/>
  </r>
  <r>
    <d v="2016-10-12T00:00:00"/>
    <n v="834.09002699999996"/>
    <n v="148.73374899999999"/>
    <n v="635.59997599999997"/>
    <n v="99.5"/>
    <x v="3"/>
    <s v="Oct"/>
    <x v="2"/>
    <n v="-5.7667611939927329E-3"/>
    <n v="3.6501055500355031E-3"/>
    <s v="Normal"/>
  </r>
  <r>
    <d v="2016-10-13T00:00:00"/>
    <n v="829.28002900000001"/>
    <n v="146.848221"/>
    <n v="637.919983"/>
    <n v="100.230003"/>
    <x v="3"/>
    <s v="Oct"/>
    <x v="2"/>
    <n v="-7.6210770535751465E-3"/>
    <n v="-1.3950871954421732E-3"/>
    <s v="Normal"/>
  </r>
  <r>
    <d v="2016-10-14T00:00:00"/>
    <n v="822.96002199999998"/>
    <n v="147.639557"/>
    <n v="637.03002900000001"/>
    <n v="101.470001"/>
    <x v="3"/>
    <s v="Oct"/>
    <x v="2"/>
    <n v="-1.2163421955386267E-2"/>
    <n v="-2.652939301233552E-3"/>
    <s v="Normal"/>
  </r>
  <r>
    <d v="2016-10-17T00:00:00"/>
    <n v="812.95001200000002"/>
    <n v="148.50904800000001"/>
    <n v="635.34002699999996"/>
    <n v="99.800003000000004"/>
    <x v="3"/>
    <s v="Oct"/>
    <x v="2"/>
    <n v="5.781428046771485E-3"/>
    <n v="-9.8845165314919055E-3"/>
    <s v="Normal"/>
  </r>
  <r>
    <d v="2016-10-18T00:00:00"/>
    <n v="817.65002400000003"/>
    <n v="155.77771000000001"/>
    <n v="629.05999799999995"/>
    <n v="118.790001"/>
    <x v="3"/>
    <s v="Oct"/>
    <x v="2"/>
    <n v="4.8893779522495511E-5"/>
    <n v="-1.1445188094760825E-3"/>
    <s v="Normal"/>
  </r>
  <r>
    <d v="2016-10-19T00:00:00"/>
    <n v="817.69000200000005"/>
    <n v="161.21942100000001"/>
    <n v="628.34002699999996"/>
    <n v="121.870003"/>
    <x v="3"/>
    <s v="Oct"/>
    <x v="2"/>
    <n v="-9.0131895730333478E-3"/>
    <n v="3.3580305397288525E-3"/>
    <s v="Normal"/>
  </r>
  <r>
    <d v="2016-10-20T00:00:00"/>
    <n v="810.32000700000003"/>
    <n v="161.59068300000001"/>
    <n v="630.45001200000002"/>
    <n v="123.349998"/>
    <x v="3"/>
    <s v="Oct"/>
    <x v="2"/>
    <n v="1.0699455678131863E-2"/>
    <n v="3.9701748788292419E-2"/>
    <s v="Normal"/>
  </r>
  <r>
    <d v="2016-10-21T00:00:00"/>
    <n v="818.98999000000003"/>
    <n v="162.528549"/>
    <n v="655.47997999999995"/>
    <n v="127.5"/>
    <x v="3"/>
    <s v="Oct"/>
    <x v="2"/>
    <n v="2.3321453538156098E-2"/>
    <n v="-6.8346557281580974E-3"/>
    <s v="Normal"/>
  </r>
  <r>
    <d v="2016-10-24T00:00:00"/>
    <n v="838.09002699999996"/>
    <n v="162.69464099999999"/>
    <n v="651"/>
    <n v="127.33000199999999"/>
    <x v="3"/>
    <s v="Oct"/>
    <x v="2"/>
    <n v="-3.4722212486129442E-3"/>
    <n v="3.6359420890937022E-2"/>
    <s v="Normal"/>
  </r>
  <r>
    <d v="2016-10-25T00:00:00"/>
    <n v="835.17999299999997"/>
    <n v="161.092422"/>
    <n v="674.669983"/>
    <n v="126.510002"/>
    <x v="3"/>
    <s v="Oct"/>
    <x v="2"/>
    <n v="-1.5074554114708066E-2"/>
    <n v="1.1309240357889144E-2"/>
    <s v="Normal"/>
  </r>
  <r>
    <d v="2016-10-26T00:00:00"/>
    <n v="822.59002699999996"/>
    <n v="161.00451699999999"/>
    <n v="682.29998799999998"/>
    <n v="126.970001"/>
    <x v="3"/>
    <s v="Oct"/>
    <x v="2"/>
    <n v="-5.1423453496354053E-3"/>
    <n v="5.7745889920784365E-3"/>
    <s v="Normal"/>
  </r>
  <r>
    <d v="2016-10-27T00:00:00"/>
    <n v="818.35998500000005"/>
    <n v="162.118225"/>
    <n v="686.23999000000003"/>
    <n v="126.470001"/>
    <x v="3"/>
    <s v="Oct"/>
    <x v="2"/>
    <n v="-5.1371008810994122E-2"/>
    <n v="4.1836707884074169E-2"/>
    <s v="Normal"/>
  </r>
  <r>
    <d v="2016-10-28T00:00:00"/>
    <n v="776.32000700000003"/>
    <n v="164.05261200000001"/>
    <n v="714.95001200000002"/>
    <n v="126.57"/>
    <x v="3"/>
    <s v="Oct"/>
    <x v="2"/>
    <n v="1.738973603445982E-2"/>
    <n v="-2.2770863314566969E-2"/>
    <s v="Normal"/>
  </r>
  <r>
    <d v="2016-10-31T00:00:00"/>
    <n v="789.82000700000003"/>
    <n v="165.342209"/>
    <n v="698.669983"/>
    <n v="124.870003"/>
    <x v="3"/>
    <s v="Oct"/>
    <x v="2"/>
    <n v="-5.5835936807308506E-3"/>
    <n v="4.0205000477313999E-2"/>
    <s v="Normal"/>
  </r>
  <r>
    <d v="2016-11-01T00:00:00"/>
    <n v="785.40997300000004"/>
    <n v="163.70091199999999"/>
    <n v="726.76000999999997"/>
    <n v="123.300003"/>
    <x v="3"/>
    <s v="Nov"/>
    <x v="2"/>
    <n v="-2.5273393109817417E-2"/>
    <n v="9.2877977697204336E-3"/>
    <s v="Normal"/>
  </r>
  <r>
    <d v="2016-11-02T00:00:00"/>
    <n v="765.55999799999995"/>
    <n v="163.398056"/>
    <n v="733.51000999999997"/>
    <n v="122.339996"/>
    <x v="3"/>
    <s v="Nov"/>
    <x v="2"/>
    <n v="1.9202035161717825E-3"/>
    <n v="-6.6311317278410359E-2"/>
    <s v="High Volatility"/>
  </r>
  <r>
    <d v="2016-11-03T00:00:00"/>
    <n v="767.03002900000001"/>
    <n v="162.34291099999999"/>
    <n v="684.86999500000002"/>
    <n v="122.139999"/>
    <x v="3"/>
    <s v="Nov"/>
    <x v="2"/>
    <n v="-1.5618737920363777E-2"/>
    <n v="2.5128888877662073E-2"/>
    <s v="Normal"/>
  </r>
  <r>
    <d v="2016-11-04T00:00:00"/>
    <n v="755.04998799999998"/>
    <n v="162.91935699999999"/>
    <n v="702.080017"/>
    <n v="122.029999"/>
    <x v="3"/>
    <s v="Nov"/>
    <x v="2"/>
    <n v="3.9573545427299552E-2"/>
    <n v="4.7288156899643425E-3"/>
    <s v="Normal"/>
  </r>
  <r>
    <d v="2016-11-07T00:00:00"/>
    <n v="784.92999299999997"/>
    <n v="164.33596800000001"/>
    <n v="705.40002400000003"/>
    <n v="124.58000199999999"/>
    <x v="3"/>
    <s v="Nov"/>
    <x v="2"/>
    <n v="3.5926860040370917E-3"/>
    <n v="7.796994347706458E-3"/>
    <s v="Normal"/>
  </r>
  <r>
    <d v="2016-11-08T00:00:00"/>
    <n v="787.75"/>
    <n v="165.00029000000001"/>
    <n v="710.90002400000003"/>
    <n v="124.339996"/>
    <x v="3"/>
    <s v="Nov"/>
    <x v="2"/>
    <n v="-2.0145979054268508E-2"/>
    <n v="1.4798085025806627E-2"/>
    <s v="Normal"/>
  </r>
  <r>
    <d v="2016-11-09T00:00:00"/>
    <n v="771.88000499999998"/>
    <n v="166.43644699999999"/>
    <n v="721.419983"/>
    <n v="122.19000200000001"/>
    <x v="3"/>
    <s v="Nov"/>
    <x v="2"/>
    <n v="-3.8218375665787584E-2"/>
    <n v="-9.4951292747874564E-3"/>
    <s v="Normal"/>
  </r>
  <r>
    <d v="2016-11-10T00:00:00"/>
    <n v="742.38000499999998"/>
    <n v="157.39948999999999"/>
    <n v="714.57000700000003"/>
    <n v="115.41999800000001"/>
    <x v="3"/>
    <s v="Nov"/>
    <x v="2"/>
    <n v="-4.5394474222133947E-3"/>
    <n v="5.5972682323896428E-4"/>
    <s v="Normal"/>
  </r>
  <r>
    <d v="2016-11-11T00:00:00"/>
    <n v="739.01000999999997"/>
    <n v="155.943771"/>
    <n v="714.96997099999999"/>
    <n v="114.779999"/>
    <x v="3"/>
    <s v="Nov"/>
    <x v="2"/>
    <n v="-2.6982047239116468E-2"/>
    <n v="-1.4560014297439684E-2"/>
    <s v="Normal"/>
  </r>
  <r>
    <d v="2016-11-14T00:00:00"/>
    <n v="719.07000700000003"/>
    <n v="153.55020099999999"/>
    <n v="704.55999799999995"/>
    <n v="113.379997"/>
    <x v="3"/>
    <s v="Nov"/>
    <x v="2"/>
    <n v="3.3612837087780248E-2"/>
    <n v="9.2823578099306449E-3"/>
    <s v="Normal"/>
  </r>
  <r>
    <d v="2016-11-15T00:00:00"/>
    <n v="743.23999000000003"/>
    <n v="157.624191"/>
    <n v="711.09997599999997"/>
    <n v="113.589996"/>
    <x v="3"/>
    <s v="Nov"/>
    <x v="2"/>
    <n v="4.3727464126358433E-3"/>
    <n v="4.1035092089498321E-2"/>
    <s v="Normal"/>
  </r>
  <r>
    <d v="2016-11-16T00:00:00"/>
    <n v="746.48999000000003"/>
    <n v="157.84889200000001"/>
    <n v="740.28002900000001"/>
    <n v="115.19000200000001"/>
    <x v="3"/>
    <s v="Nov"/>
    <x v="2"/>
    <n v="1.3275508222153114E-2"/>
    <n v="-3.7148104666754425E-3"/>
    <s v="Normal"/>
  </r>
  <r>
    <d v="2016-11-17T00:00:00"/>
    <n v="756.40002400000003"/>
    <n v="157.84889200000001"/>
    <n v="737.53002900000001"/>
    <n v="115.029999"/>
    <x v="3"/>
    <s v="Nov"/>
    <x v="2"/>
    <n v="4.9708472774982436E-3"/>
    <n v="1.2785910578835519E-2"/>
    <s v="Normal"/>
  </r>
  <r>
    <d v="2016-11-18T00:00:00"/>
    <n v="760.15997300000004"/>
    <n v="160.525757"/>
    <n v="746.96002199999998"/>
    <n v="115.209999"/>
    <x v="3"/>
    <s v="Nov"/>
    <x v="2"/>
    <n v="2.609980491566867E-2"/>
    <n v="-1.4418469105164415E-2"/>
    <s v="Normal"/>
  </r>
  <r>
    <d v="2016-11-21T00:00:00"/>
    <n v="780"/>
    <n v="162.626251"/>
    <n v="736.19000200000005"/>
    <n v="117.959999"/>
    <x v="3"/>
    <s v="Nov"/>
    <x v="2"/>
    <n v="6.8333551282051255E-3"/>
    <n v="1.7862270560963029E-2"/>
    <s v="Normal"/>
  </r>
  <r>
    <d v="2016-11-22T00:00:00"/>
    <n v="785.330017"/>
    <n v="164.589966"/>
    <n v="749.34002699999996"/>
    <n v="118.040001"/>
    <x v="3"/>
    <s v="Nov"/>
    <x v="2"/>
    <n v="-6.6341816653112612E-3"/>
    <n v="-1.1036404972398373E-2"/>
    <s v="Normal"/>
  </r>
  <r>
    <d v="2016-11-23T00:00:00"/>
    <n v="780.11999500000002"/>
    <n v="166.63185100000001"/>
    <n v="741.07000700000003"/>
    <n v="117.69000200000001"/>
    <x v="3"/>
    <s v="Nov"/>
    <x v="2"/>
    <n v="3.2046352048699893E-4"/>
    <n v="-9.1758132642937181E-4"/>
    <s v="Normal"/>
  </r>
  <r>
    <d v="2016-11-25T00:00:00"/>
    <n v="780.36999500000002"/>
    <n v="168.292664"/>
    <n v="740.39001499999995"/>
    <n v="117.410004"/>
    <x v="3"/>
    <s v="Nov"/>
    <x v="2"/>
    <n v="-1.7427598558552949E-2"/>
    <n v="-9.576070525478337E-3"/>
    <s v="Normal"/>
  </r>
  <r>
    <d v="2016-11-28T00:00:00"/>
    <n v="766.77002000000005"/>
    <n v="166.12380999999999"/>
    <n v="733.29998799999998"/>
    <n v="116.93"/>
    <x v="3"/>
    <s v="Nov"/>
    <x v="2"/>
    <n v="-5.542731052526023E-3"/>
    <n v="-1.0091231584747201E-3"/>
    <s v="Normal"/>
  </r>
  <r>
    <d v="2016-11-29T00:00:00"/>
    <n v="762.52002000000005"/>
    <n v="166.93467699999999"/>
    <n v="732.55999799999995"/>
    <n v="117.510002"/>
    <x v="3"/>
    <s v="Nov"/>
    <x v="2"/>
    <n v="-1.5671736723712529E-2"/>
    <n v="1.3555192785724679E-2"/>
    <s v="Normal"/>
  </r>
  <r>
    <d v="2016-11-30T00:00:00"/>
    <n v="750.57000700000003"/>
    <n v="164.169861"/>
    <n v="742.48999000000003"/>
    <n v="117"/>
    <x v="3"/>
    <s v="Nov"/>
    <x v="2"/>
    <n v="-9.219636989837781E-3"/>
    <n v="1.3656769972077263E-2"/>
    <s v="Normal"/>
  </r>
  <r>
    <d v="2016-12-01T00:00:00"/>
    <n v="743.65002400000003"/>
    <n v="164.814651"/>
    <n v="752.63000499999998"/>
    <n v="117.220001"/>
    <x v="3"/>
    <s v="Dec"/>
    <x v="2"/>
    <n v="-4.451014446548403E-3"/>
    <n v="2.4328018918140352E-2"/>
    <s v="Normal"/>
  </r>
  <r>
    <d v="2016-12-02T00:00:00"/>
    <n v="740.34002699999996"/>
    <n v="164.130798"/>
    <n v="770.94000200000005"/>
    <n v="120.80999799999999"/>
    <x v="3"/>
    <s v="Dec"/>
    <x v="2"/>
    <n v="2.5690841108608718E-2"/>
    <n v="-2.153212306656269E-2"/>
    <s v="Normal"/>
  </r>
  <r>
    <d v="2016-12-05T00:00:00"/>
    <n v="759.35998500000005"/>
    <n v="162.46014400000001"/>
    <n v="754.34002699999996"/>
    <n v="119.160004"/>
    <x v="3"/>
    <s v="Dec"/>
    <x v="2"/>
    <n v="7.0585573454992299E-3"/>
    <n v="5.1303057792000438E-3"/>
    <s v="Normal"/>
  </r>
  <r>
    <d v="2016-12-06T00:00:00"/>
    <n v="764.71997099999999"/>
    <n v="165.195694"/>
    <n v="758.21002199999998"/>
    <n v="124.57"/>
    <x v="3"/>
    <s v="Dec"/>
    <x v="2"/>
    <n v="7.4537245216000974E-3"/>
    <n v="9.6938523453069976E-3"/>
    <s v="Normal"/>
  </r>
  <r>
    <d v="2016-12-07T00:00:00"/>
    <n v="770.419983"/>
    <n v="163.857224"/>
    <n v="765.55999799999995"/>
    <n v="125.389999"/>
    <x v="3"/>
    <s v="Dec"/>
    <x v="2"/>
    <n v="-4.0107552610041839E-3"/>
    <n v="3.8272532625197118E-3"/>
    <s v="Normal"/>
  </r>
  <r>
    <d v="2016-12-08T00:00:00"/>
    <n v="767.330017"/>
    <n v="160.74070699999999"/>
    <n v="768.48999000000003"/>
    <n v="123.239998"/>
    <x v="3"/>
    <s v="Dec"/>
    <x v="2"/>
    <n v="1.7332255620596143E-3"/>
    <n v="2.589480703580694E-3"/>
    <s v="Normal"/>
  </r>
  <r>
    <d v="2016-12-09T00:00:00"/>
    <n v="768.65997300000004"/>
    <n v="159.80282600000001"/>
    <n v="770.47997999999995"/>
    <n v="122.879997"/>
    <x v="3"/>
    <s v="Dec"/>
    <x v="2"/>
    <n v="-1.1110215569921473E-2"/>
    <n v="1.0370147450164808E-2"/>
    <s v="Normal"/>
  </r>
  <r>
    <d v="2016-12-12T00:00:00"/>
    <n v="760.11999500000002"/>
    <n v="158.14196799999999"/>
    <n v="778.46997099999999"/>
    <n v="122.83000199999999"/>
    <x v="3"/>
    <s v="Dec"/>
    <x v="2"/>
    <n v="1.8707614710227357E-2"/>
    <n v="3.4685859449811395E-4"/>
    <s v="Normal"/>
  </r>
  <r>
    <d v="2016-12-13T00:00:00"/>
    <n v="774.34002699999996"/>
    <n v="158.50430299999999"/>
    <n v="778.73999000000003"/>
    <n v="123.779999"/>
    <x v="3"/>
    <s v="Dec"/>
    <x v="2"/>
    <n v="-7.1286770766403008E-3"/>
    <n v="-2.8764286267102248E-3"/>
    <s v="Normal"/>
  </r>
  <r>
    <d v="2016-12-14T00:00:00"/>
    <n v="768.82000700000003"/>
    <n v="158.63162199999999"/>
    <n v="776.5"/>
    <n v="123.44000200000001"/>
    <x v="3"/>
    <s v="Dec"/>
    <x v="2"/>
    <n v="-1.017144055669721E-2"/>
    <n v="-1.6612723760463866E-3"/>
    <s v="Normal"/>
  </r>
  <r>
    <d v="2016-12-15T00:00:00"/>
    <n v="761"/>
    <n v="156.46743799999999"/>
    <n v="775.21002199999998"/>
    <n v="125"/>
    <x v="3"/>
    <s v="Dec"/>
    <x v="2"/>
    <n v="-4.2443889618921883E-3"/>
    <n v="8.823371481128767E-3"/>
    <s v="Normal"/>
  </r>
  <r>
    <d v="2016-12-16T00:00:00"/>
    <n v="757.77002000000005"/>
    <n v="156.72203099999999"/>
    <n v="782.04998799999998"/>
    <n v="124.220001"/>
    <x v="3"/>
    <s v="Dec"/>
    <x v="2"/>
    <n v="1.0860788607076266E-2"/>
    <n v="9.8970527699823122E-3"/>
    <s v="Normal"/>
  </r>
  <r>
    <d v="2016-12-19T00:00:00"/>
    <n v="766"/>
    <n v="157.88737499999999"/>
    <n v="789.78997800000002"/>
    <n v="125.449997"/>
    <x v="3"/>
    <s v="Dec"/>
    <x v="2"/>
    <n v="6.8145835509138206E-3"/>
    <n v="1.1787941426625637E-2"/>
    <s v="Normal"/>
  </r>
  <r>
    <d v="2016-12-20T00:00:00"/>
    <n v="771.21997099999999"/>
    <n v="157.760086"/>
    <n v="799.09997599999997"/>
    <n v="125.120003"/>
    <x v="3"/>
    <s v="Dec"/>
    <x v="2"/>
    <n v="-8.0391460713355564E-4"/>
    <n v="3.7679948572542581E-2"/>
    <s v="Normal"/>
  </r>
  <r>
    <d v="2016-12-21T00:00:00"/>
    <n v="770.59997599999997"/>
    <n v="159.25836200000001"/>
    <n v="829.21002199999998"/>
    <n v="126.5"/>
    <x v="3"/>
    <s v="Dec"/>
    <x v="2"/>
    <n v="-5.5280938653961319E-3"/>
    <n v="3.7312624279883647E-2"/>
    <s v="Normal"/>
  </r>
  <r>
    <d v="2016-12-22T00:00:00"/>
    <n v="766.34002699999996"/>
    <n v="157.985275"/>
    <n v="860.15002400000003"/>
    <n v="125.58000199999999"/>
    <x v="3"/>
    <s v="Dec"/>
    <x v="2"/>
    <n v="-7.5031967500243857E-3"/>
    <n v="6.6290713723214365E-2"/>
    <s v="High Volatility"/>
  </r>
  <r>
    <d v="2016-12-23T00:00:00"/>
    <n v="760.59002699999996"/>
    <n v="158.22032200000001"/>
    <n v="917.169983"/>
    <n v="125.589996"/>
    <x v="3"/>
    <s v="Dec"/>
    <x v="2"/>
    <n v="1.4212646256535871E-2"/>
    <n v="9.3876229702122855E-3"/>
    <s v="Normal"/>
  </r>
  <r>
    <d v="2016-12-27T00:00:00"/>
    <n v="771.40002400000003"/>
    <n v="158.61203"/>
    <n v="925.78002900000001"/>
    <n v="128.35000600000001"/>
    <x v="3"/>
    <s v="Dec"/>
    <x v="2"/>
    <n v="9.4630668562171636E-4"/>
    <n v="5.0109045936224214E-2"/>
    <s v="High Volatility"/>
  </r>
  <r>
    <d v="2016-12-28T00:00:00"/>
    <n v="772.13000499999998"/>
    <n v="157.906937"/>
    <n v="972.169983"/>
    <n v="125.889999"/>
    <x v="3"/>
    <s v="Dec"/>
    <x v="2"/>
    <n v="-9.0399038436538327E-3"/>
    <n v="-1.1211681280638799E-3"/>
    <s v="Normal"/>
  </r>
  <r>
    <d v="2016-12-29T00:00:00"/>
    <n v="765.15002400000003"/>
    <n v="158.993942"/>
    <n v="971.080017"/>
    <n v="125.33000199999999"/>
    <x v="3"/>
    <s v="Dec"/>
    <x v="2"/>
    <n v="-1.9969977809214591E-2"/>
    <n v="-1.2398606488882141E-2"/>
    <s v="Normal"/>
  </r>
  <r>
    <d v="2016-12-30T00:00:00"/>
    <n v="749.86999500000002"/>
    <n v="155.938614"/>
    <n v="959.03997800000002"/>
    <n v="123.800003"/>
    <x v="3"/>
    <s v="Dec"/>
    <x v="2"/>
    <n v="5.0675290721560141E-3"/>
    <n v="7.7431674073549339E-2"/>
    <s v="High Volatility"/>
  </r>
  <r>
    <d v="2017-01-03T00:00:00"/>
    <n v="753.669983"/>
    <n v="155.076874"/>
    <n v="1033.3000489999999"/>
    <n v="127.489998"/>
    <x v="4"/>
    <s v="Jan"/>
    <x v="3"/>
    <n v="4.6572240890214219E-3"/>
    <n v="9.8819297549457535E-2"/>
    <s v="High Volatility"/>
  </r>
  <r>
    <d v="2017-01-04T00:00:00"/>
    <n v="757.17999299999997"/>
    <n v="159.61087000000001"/>
    <n v="1135.410034"/>
    <n v="129.41000399999999"/>
    <x v="4"/>
    <s v="Jan"/>
    <x v="3"/>
    <n v="3.07324800115262E-2"/>
    <n v="-0.12864080255256932"/>
    <s v="High Volatility"/>
  </r>
  <r>
    <d v="2017-01-05T00:00:00"/>
    <n v="780.45001200000002"/>
    <n v="159.395432"/>
    <n v="989.34997599999997"/>
    <n v="131.80999800000001"/>
    <x v="4"/>
    <s v="Jan"/>
    <x v="3"/>
    <n v="1.9911560972594385E-2"/>
    <n v="-0.1043008091203511"/>
    <s v="High Volatility"/>
  </r>
  <r>
    <d v="2017-01-06T00:00:00"/>
    <n v="795.98999000000003"/>
    <n v="160.100525"/>
    <n v="886.15997300000004"/>
    <n v="131.070007"/>
    <x v="4"/>
    <s v="Jan"/>
    <x v="3"/>
    <n v="1.1683476069843134E-3"/>
    <n v="1.5369748595042868E-2"/>
    <s v="Normal"/>
  </r>
  <r>
    <d v="2017-01-09T00:00:00"/>
    <n v="796.919983"/>
    <n v="161.09938"/>
    <n v="899.78002900000001"/>
    <n v="130.949997"/>
    <x v="4"/>
    <s v="Jan"/>
    <x v="3"/>
    <n v="-1.2798763009560165E-3"/>
    <n v="5.1012090200548386E-3"/>
    <s v="Normal"/>
  </r>
  <r>
    <d v="2017-01-10T00:00:00"/>
    <n v="795.90002400000003"/>
    <n v="162.91099500000001"/>
    <n v="904.36999500000002"/>
    <n v="129.88999899999999"/>
    <x v="4"/>
    <s v="Jan"/>
    <x v="3"/>
    <n v="3.92008531966072E-3"/>
    <n v="-0.1315169705514169"/>
    <s v="High Volatility"/>
  </r>
  <r>
    <d v="2017-01-11T00:00:00"/>
    <n v="799.02002000000005"/>
    <n v="165.457123"/>
    <n v="785.42999299999997"/>
    <n v="130.5"/>
    <x v="4"/>
    <s v="Jan"/>
    <x v="3"/>
    <n v="1.8297407616895384E-2"/>
    <n v="3.1422268337033168E-2"/>
    <s v="Normal"/>
  </r>
  <r>
    <d v="2017-01-12T00:00:00"/>
    <n v="813.64001499999995"/>
    <n v="164.869553"/>
    <n v="810.10998500000005"/>
    <n v="129.179993"/>
    <x v="4"/>
    <s v="Jan"/>
    <x v="3"/>
    <n v="4.3016566730681265E-3"/>
    <n v="1.8170411762052217E-2"/>
    <s v="Normal"/>
  </r>
  <r>
    <d v="2017-01-13T00:00:00"/>
    <n v="817.14001499999995"/>
    <n v="163.694412"/>
    <n v="824.830017"/>
    <n v="133.699997"/>
    <x v="4"/>
    <s v="Jan"/>
    <x v="3"/>
    <n v="-9.0805050099033047E-3"/>
    <n v="9.0721669262431845E-2"/>
    <s v="High Volatility"/>
  </r>
  <r>
    <d v="2017-01-17T00:00:00"/>
    <n v="809.71997099999999"/>
    <n v="161.51063500000001"/>
    <n v="899.65997300000004"/>
    <n v="132.88999899999999"/>
    <x v="4"/>
    <s v="Jan"/>
    <x v="3"/>
    <n v="-2.7663773652929105E-3"/>
    <n v="-3.0711540836773476E-2"/>
    <s v="Normal"/>
  </r>
  <r>
    <d v="2017-01-18T00:00:00"/>
    <n v="807.47997999999995"/>
    <n v="162.13739000000001"/>
    <n v="872.03002900000001"/>
    <n v="133.259995"/>
    <x v="4"/>
    <s v="Jan"/>
    <x v="3"/>
    <n v="1.9319339657189571E-3"/>
    <n v="2.658164538964514E-2"/>
    <s v="Normal"/>
  </r>
  <r>
    <d v="2017-01-19T00:00:00"/>
    <n v="809.03997800000002"/>
    <n v="162.597656"/>
    <n v="895.21002199999998"/>
    <n v="138.41000399999999"/>
    <x v="4"/>
    <s v="Jan"/>
    <x v="3"/>
    <n v="-8.7753512719493962E-4"/>
    <n v="-2.5692842388665132E-3"/>
    <s v="Normal"/>
  </r>
  <r>
    <d v="2017-01-20T00:00:00"/>
    <n v="808.330017"/>
    <n v="164.38969399999999"/>
    <n v="892.90997300000004"/>
    <n v="138.60000600000001"/>
    <x v="4"/>
    <s v="Jan"/>
    <x v="3"/>
    <n v="1.1814466615310644E-2"/>
    <n v="3.1974162976450421E-2"/>
    <s v="Normal"/>
  </r>
  <r>
    <d v="2017-01-23T00:00:00"/>
    <n v="817.88000499999998"/>
    <n v="163.576874"/>
    <n v="921.46002199999998"/>
    <n v="137.38999899999999"/>
    <x v="4"/>
    <s v="Jan"/>
    <x v="3"/>
    <n v="5.5753863306635875E-3"/>
    <n v="-3.0071865667982263E-2"/>
    <s v="Normal"/>
  </r>
  <r>
    <d v="2017-01-24T00:00:00"/>
    <n v="822.44000200000005"/>
    <n v="165.995712"/>
    <n v="893.75"/>
    <n v="140.11000100000001"/>
    <x v="4"/>
    <s v="Jan"/>
    <x v="3"/>
    <n v="1.7119811737950939E-2"/>
    <n v="7.3843132867136931E-4"/>
    <s v="Normal"/>
  </r>
  <r>
    <d v="2017-01-25T00:00:00"/>
    <n v="836.52002000000005"/>
    <n v="167.03372200000001"/>
    <n v="894.40997300000004"/>
    <n v="139.520004"/>
    <x v="4"/>
    <s v="Jan"/>
    <x v="3"/>
    <n v="3.1439821368530849E-3"/>
    <n v="2.3646902023083671E-2"/>
    <s v="Normal"/>
  </r>
  <r>
    <d v="2017-01-26T00:00:00"/>
    <n v="839.15002400000003"/>
    <n v="167.39605700000001"/>
    <n v="915.55999799999995"/>
    <n v="138.96000699999999"/>
    <x v="4"/>
    <s v="Jan"/>
    <x v="3"/>
    <n v="-4.0278900117149798E-3"/>
    <n v="2.6759709962776413E-3"/>
    <s v="Normal"/>
  </r>
  <r>
    <d v="2017-01-27T00:00:00"/>
    <n v="835.77002000000005"/>
    <n v="168.45367400000001"/>
    <n v="918.01000999999997"/>
    <n v="142.449997"/>
    <x v="4"/>
    <s v="Jan"/>
    <x v="3"/>
    <n v="-6.4491604999184606E-3"/>
    <n v="2.9628979753717386E-3"/>
    <s v="Normal"/>
  </r>
  <r>
    <d v="2017-01-30T00:00:00"/>
    <n v="830.38000499999998"/>
    <n v="170.32406599999999"/>
    <n v="920.72997999999995"/>
    <n v="141.220001"/>
    <x v="4"/>
    <s v="Jan"/>
    <x v="3"/>
    <n v="-8.3094787428076716E-3"/>
    <n v="4.8613611995125955E-2"/>
    <s v="Normal"/>
  </r>
  <r>
    <d v="2017-01-31T00:00:00"/>
    <n v="823.47997999999995"/>
    <n v="170.92143200000001"/>
    <n v="965.48999000000003"/>
    <n v="140.71000699999999"/>
    <x v="4"/>
    <s v="Jan"/>
    <x v="3"/>
    <n v="1.0771355971519812E-2"/>
    <n v="1.7545498322566692E-2"/>
    <s v="Normal"/>
  </r>
  <r>
    <d v="2017-02-01T00:00:00"/>
    <n v="832.34997599999997"/>
    <n v="167.34710699999999"/>
    <n v="982.42999299999997"/>
    <n v="140.779999"/>
    <x v="4"/>
    <s v="Feb"/>
    <x v="3"/>
    <n v="9.1308178280046538E-3"/>
    <n v="2.192520398753748E-2"/>
    <s v="Normal"/>
  </r>
  <r>
    <d v="2017-02-02T00:00:00"/>
    <n v="839.95001200000002"/>
    <n v="171.28375199999999"/>
    <n v="1003.969971"/>
    <n v="139.199997"/>
    <x v="4"/>
    <s v="Feb"/>
    <x v="3"/>
    <n v="-3.5418774421066383E-2"/>
    <n v="9.0142626387378858E-3"/>
    <s v="Normal"/>
  </r>
  <r>
    <d v="2017-02-03T00:00:00"/>
    <n v="810.20001200000002"/>
    <n v="172.24345400000001"/>
    <n v="1013.02002"/>
    <n v="140.25"/>
    <x v="4"/>
    <s v="Feb"/>
    <x v="3"/>
    <n v="-3.1597099013620684E-3"/>
    <n v="1.1500289994268737E-2"/>
    <s v="Normal"/>
  </r>
  <r>
    <d v="2017-02-06T00:00:00"/>
    <n v="807.64001499999995"/>
    <n v="174.25093100000001"/>
    <n v="1024.670044"/>
    <n v="140.970001"/>
    <x v="4"/>
    <s v="Feb"/>
    <x v="3"/>
    <n v="6.0175138796212963E-3"/>
    <n v="2.4290760860771244E-2"/>
    <s v="Normal"/>
  </r>
  <r>
    <d v="2017-02-07T00:00:00"/>
    <n v="812.5"/>
    <n v="179.166855"/>
    <n v="1049.5600589999999"/>
    <n v="144"/>
    <x v="4"/>
    <s v="Feb"/>
    <x v="3"/>
    <n v="8.8738732307692067E-3"/>
    <n v="5.6499206016376478E-3"/>
    <s v="Normal"/>
  </r>
  <r>
    <d v="2017-02-08T00:00:00"/>
    <n v="819.71002199999998"/>
    <n v="181.34082000000001"/>
    <n v="1055.48999"/>
    <n v="144.740005"/>
    <x v="4"/>
    <s v="Feb"/>
    <x v="3"/>
    <n v="2.0128618117591719E-3"/>
    <n v="-7.2506578674422159E-2"/>
    <s v="High Volatility"/>
  </r>
  <r>
    <d v="2017-02-09T00:00:00"/>
    <n v="821.35998500000005"/>
    <n v="182.04591400000001"/>
    <n v="978.96002199999998"/>
    <n v="144.13999899999999"/>
    <x v="4"/>
    <s v="Feb"/>
    <x v="3"/>
    <n v="7.4267521079687477E-3"/>
    <n v="1.9050791228326657E-2"/>
    <s v="Normal"/>
  </r>
  <r>
    <d v="2017-02-10T00:00:00"/>
    <n v="827.46002199999998"/>
    <n v="182.50614899999999"/>
    <n v="997.60998500000005"/>
    <n v="144.820007"/>
    <x v="4"/>
    <s v="Feb"/>
    <x v="3"/>
    <n v="1.0961263092901463E-2"/>
    <n v="-2.2553904169273125E-3"/>
    <s v="Normal"/>
  </r>
  <r>
    <d v="2017-02-13T00:00:00"/>
    <n v="836.53002900000001"/>
    <n v="179.98945599999999"/>
    <n v="995.35998500000005"/>
    <n v="143.199997"/>
    <x v="4"/>
    <s v="Feb"/>
    <x v="3"/>
    <n v="-1.6737474465494017E-4"/>
    <n v="1.3040550349228587E-2"/>
    <s v="Normal"/>
  </r>
  <r>
    <d v="2017-02-14T00:00:00"/>
    <n v="836.39001499999995"/>
    <n v="181.07641599999999"/>
    <n v="1008.340027"/>
    <n v="140.820007"/>
    <x v="4"/>
    <s v="Feb"/>
    <x v="3"/>
    <n v="7.5443236849259462E-3"/>
    <n v="-1.4878413628611627E-4"/>
    <s v="Normal"/>
  </r>
  <r>
    <d v="2017-02-15T00:00:00"/>
    <n v="842.70001200000002"/>
    <n v="182.08509799999999"/>
    <n v="1008.190002"/>
    <n v="142.270004"/>
    <x v="4"/>
    <s v="Feb"/>
    <x v="3"/>
    <n v="1.7087967004798539E-3"/>
    <n v="2.3547200381778707E-2"/>
    <s v="Normal"/>
  </r>
  <r>
    <d v="2017-02-16T00:00:00"/>
    <n v="844.14001499999995"/>
    <n v="182.24179100000001"/>
    <n v="1031.9300539999999"/>
    <n v="142.009995"/>
    <x v="4"/>
    <s v="Feb"/>
    <x v="3"/>
    <n v="1.1017034893199369E-3"/>
    <n v="1.6939113200786834E-2"/>
    <s v="Normal"/>
  </r>
  <r>
    <d v="2017-02-17T00:00:00"/>
    <n v="845.07000700000003"/>
    <n v="184.03379799999999"/>
    <n v="1049.410034"/>
    <n v="142.220001"/>
    <x v="4"/>
    <s v="Feb"/>
    <x v="3"/>
    <n v="1.3454500699135589E-2"/>
    <n v="6.6342032898839248E-2"/>
    <s v="High Volatility"/>
  </r>
  <r>
    <d v="2017-02-21T00:00:00"/>
    <n v="856.44000200000005"/>
    <n v="185.00329600000001"/>
    <n v="1119.030029"/>
    <n v="142.60000600000001"/>
    <x v="4"/>
    <s v="Feb"/>
    <x v="3"/>
    <n v="-9.6914786565515645E-4"/>
    <n v="1.2778316604048952E-3"/>
    <s v="Normal"/>
  </r>
  <r>
    <d v="2017-02-22T00:00:00"/>
    <n v="855.60998500000005"/>
    <n v="179.20602400000001"/>
    <n v="1120.459961"/>
    <n v="143.86000100000001"/>
    <x v="4"/>
    <s v="Feb"/>
    <x v="3"/>
    <n v="-3.9971284346336866E-3"/>
    <n v="4.591870730845328E-2"/>
    <s v="Normal"/>
  </r>
  <r>
    <d v="2017-02-23T00:00:00"/>
    <n v="852.19000200000005"/>
    <n v="182.43760700000001"/>
    <n v="1171.910034"/>
    <n v="142.779999"/>
    <x v="4"/>
    <s v="Feb"/>
    <x v="3"/>
    <n v="-8.1554723520448139E-3"/>
    <n v="3.9081122843257765E-3"/>
    <s v="Normal"/>
  </r>
  <r>
    <d v="2017-02-24T00:00:00"/>
    <n v="845.23999000000003"/>
    <n v="182.41802999999999"/>
    <n v="1176.48999"/>
    <n v="143.25"/>
    <x v="4"/>
    <s v="Feb"/>
    <x v="3"/>
    <n v="4.0225557714086788E-3"/>
    <n v="1.0488798123985741E-2"/>
    <s v="Normal"/>
  </r>
  <r>
    <d v="2017-02-27T00:00:00"/>
    <n v="848.64001499999995"/>
    <n v="181.575851"/>
    <n v="1188.829956"/>
    <n v="143.41000399999999"/>
    <x v="4"/>
    <s v="Feb"/>
    <x v="3"/>
    <n v="-4.2421249721531565E-3"/>
    <n v="3.7016563872646304E-4"/>
    <s v="Normal"/>
  </r>
  <r>
    <d v="2017-02-28T00:00:00"/>
    <n v="845.03997800000002"/>
    <n v="185.874832"/>
    <n v="1189.2700199999999"/>
    <n v="142.13000500000001"/>
    <x v="4"/>
    <s v="Feb"/>
    <x v="3"/>
    <n v="9.5143889156921978E-3"/>
    <n v="2.8076057950237463E-2"/>
    <s v="Normal"/>
  </r>
  <r>
    <d v="2017-03-01T00:00:00"/>
    <n v="853.080017"/>
    <n v="183.563782"/>
    <n v="1222.660034"/>
    <n v="142.64999399999999"/>
    <x v="4"/>
    <s v="Mar"/>
    <x v="3"/>
    <n v="-4.8882214058472801E-3"/>
    <n v="2.6834881395984184E-2"/>
    <s v="Normal"/>
  </r>
  <r>
    <d v="2017-03-02T00:00:00"/>
    <n v="848.90997300000004"/>
    <n v="185.44395399999999"/>
    <n v="1255.469971"/>
    <n v="139.529999"/>
    <x v="4"/>
    <s v="Mar"/>
    <x v="3"/>
    <n v="1.1426794723260324E-3"/>
    <n v="2.2167059860326965E-2"/>
    <s v="Normal"/>
  </r>
  <r>
    <d v="2017-03-03T00:00:00"/>
    <n v="849.88000499999998"/>
    <n v="185.12080399999999"/>
    <n v="1283.3000489999999"/>
    <n v="139.13999899999999"/>
    <x v="4"/>
    <s v="Mar"/>
    <x v="3"/>
    <n v="-3.8476255244996984E-3"/>
    <n v="-4.9014562143135862E-3"/>
    <s v="Normal"/>
  </r>
  <r>
    <d v="2017-03-06T00:00:00"/>
    <n v="846.60998500000005"/>
    <n v="184.973938"/>
    <n v="1277.01001"/>
    <n v="141.94000199999999"/>
    <x v="4"/>
    <s v="Mar"/>
    <x v="3"/>
    <n v="-6.9685570741290801E-4"/>
    <n v="-3.4706124973914558E-2"/>
    <s v="Normal"/>
  </r>
  <r>
    <d v="2017-03-07T00:00:00"/>
    <n v="846.02002000000005"/>
    <n v="185.37541200000001"/>
    <n v="1232.6899410000001"/>
    <n v="141.429993"/>
    <x v="4"/>
    <s v="Mar"/>
    <x v="3"/>
    <n v="5.295359322584299E-3"/>
    <n v="-6.9538954727302427E-2"/>
    <s v="High Volatility"/>
  </r>
  <r>
    <d v="2017-03-08T00:00:00"/>
    <n v="850.5"/>
    <n v="184.45489499999999"/>
    <n v="1146.969971"/>
    <n v="140.320007"/>
    <x v="4"/>
    <s v="Mar"/>
    <x v="3"/>
    <n v="2.9394473838918285E-3"/>
    <n v="3.8675803309239427E-2"/>
    <s v="Normal"/>
  </r>
  <r>
    <d v="2017-03-09T00:00:00"/>
    <n v="853"/>
    <n v="180.86099200000001"/>
    <n v="1191.329956"/>
    <n v="140.529999"/>
    <x v="4"/>
    <s v="Mar"/>
    <x v="3"/>
    <n v="-6.3303399765535662E-4"/>
    <n v="-6.6262029761299884E-2"/>
    <s v="High Volatility"/>
  </r>
  <r>
    <d v="2017-03-10T00:00:00"/>
    <n v="852.46002199999998"/>
    <n v="182.85870399999999"/>
    <n v="1112.3900149999999"/>
    <n v="140.88999899999999"/>
    <x v="4"/>
    <s v="Mar"/>
    <x v="3"/>
    <n v="2.4986567639883796E-3"/>
    <n v="0.11308976555313664"/>
    <s v="High Volatility"/>
  </r>
  <r>
    <d v="2017-03-13T00:00:00"/>
    <n v="854.59002699999996"/>
    <n v="183.369202"/>
    <n v="1238.1899410000001"/>
    <n v="143.520004"/>
    <x v="4"/>
    <s v="Mar"/>
    <x v="3"/>
    <n v="-2.4105102270283699E-3"/>
    <n v="3.9978308949934023E-3"/>
    <s v="Normal"/>
  </r>
  <r>
    <d v="2017-03-14T00:00:00"/>
    <n v="852.53002900000001"/>
    <n v="180.30630500000001"/>
    <n v="1243.1400149999999"/>
    <n v="143.19000199999999"/>
    <x v="4"/>
    <s v="Mar"/>
    <x v="3"/>
    <n v="5.1604281964826092E-4"/>
    <n v="8.2774577890166127E-3"/>
    <s v="Normal"/>
  </r>
  <r>
    <d v="2017-03-15T00:00:00"/>
    <n v="852.96997099999999"/>
    <n v="182.85871900000001"/>
    <n v="1253.4300539999999"/>
    <n v="145.25"/>
    <x v="4"/>
    <s v="Mar"/>
    <x v="3"/>
    <n v="5.2758246515106823E-4"/>
    <n v="-6.4263696839680168E-2"/>
    <s v="High Volatility"/>
  </r>
  <r>
    <d v="2017-03-16T00:00:00"/>
    <n v="853.419983"/>
    <n v="182.220596"/>
    <n v="1172.880005"/>
    <n v="144.38999899999999"/>
    <x v="4"/>
    <s v="Mar"/>
    <x v="3"/>
    <n v="-1.3006316023889629E-3"/>
    <n v="-8.6257795826266095E-2"/>
    <s v="High Volatility"/>
  </r>
  <r>
    <d v="2017-03-17T00:00:00"/>
    <n v="852.30999799999995"/>
    <n v="181.445053"/>
    <n v="1071.709961"/>
    <n v="145.11000100000001"/>
    <x v="4"/>
    <s v="Mar"/>
    <x v="3"/>
    <n v="5.4674625558012481E-3"/>
    <n v="-2.2580690560549951E-2"/>
    <s v="Normal"/>
  </r>
  <r>
    <d v="2017-03-20T00:00:00"/>
    <n v="856.96997099999999"/>
    <n v="180.32595800000001"/>
    <n v="1047.51001"/>
    <n v="145.83000200000001"/>
    <x v="4"/>
    <s v="Mar"/>
    <x v="3"/>
    <n v="-1.60681931292549E-2"/>
    <n v="7.0433722156029818E-2"/>
    <s v="High Volatility"/>
  </r>
  <r>
    <d v="2017-03-21T00:00:00"/>
    <n v="843.20001200000002"/>
    <n v="180.649902"/>
    <n v="1121.290039"/>
    <n v="142.41999799999999"/>
    <x v="4"/>
    <s v="Mar"/>
    <x v="3"/>
    <n v="5.7637404303072228E-3"/>
    <n v="-6.8287477224258111E-2"/>
    <s v="High Volatility"/>
  </r>
  <r>
    <d v="2017-03-22T00:00:00"/>
    <n v="848.05999799999995"/>
    <n v="180.757904"/>
    <n v="1044.719971"/>
    <n v="142.64999399999999"/>
    <x v="4"/>
    <s v="Mar"/>
    <x v="3"/>
    <n v="-8.0182180695187997E-4"/>
    <n v="-9.2751572373263019E-3"/>
    <s v="Normal"/>
  </r>
  <r>
    <d v="2017-03-23T00:00:00"/>
    <n v="847.38000499999998"/>
    <n v="180.97387699999999"/>
    <n v="1035.030029"/>
    <n v="141.83999600000001"/>
    <x v="4"/>
    <s v="Mar"/>
    <x v="3"/>
    <n v="-2.088814923122869E-3"/>
    <n v="-9.2103624367404699E-2"/>
    <s v="High Volatility"/>
  </r>
  <r>
    <d v="2017-03-24T00:00:00"/>
    <n v="845.60998500000005"/>
    <n v="179.59948700000001"/>
    <n v="939.70001200000002"/>
    <n v="142.020004"/>
    <x v="4"/>
    <s v="Mar"/>
    <x v="3"/>
    <n v="1.4309457332152727E-3"/>
    <n v="0.11143985384986879"/>
    <s v="High Volatility"/>
  </r>
  <r>
    <d v="2017-03-27T00:00:00"/>
    <n v="846.82000700000003"/>
    <n v="180.58119199999999"/>
    <n v="1044.420044"/>
    <n v="144.05999800000001"/>
    <x v="4"/>
    <s v="Mar"/>
    <x v="3"/>
    <n v="1.0840548078831547E-2"/>
    <n v="-2.4128414754934859E-3"/>
    <s v="Normal"/>
  </r>
  <r>
    <d v="2017-03-28T00:00:00"/>
    <n v="856"/>
    <n v="181.553055"/>
    <n v="1041.900024"/>
    <n v="145.16999799999999"/>
    <x v="4"/>
    <s v="Mar"/>
    <x v="3"/>
    <n v="2.1401877336448636E-2"/>
    <n v="-3.8295324964883908E-3"/>
    <s v="Normal"/>
  </r>
  <r>
    <d v="2017-03-29T00:00:00"/>
    <n v="874.32000700000003"/>
    <n v="179.42279099999999"/>
    <n v="1037.910034"/>
    <n v="146.470001"/>
    <x v="4"/>
    <s v="Mar"/>
    <x v="3"/>
    <n v="2.3103897701381676E-3"/>
    <n v="3.9695108102211538E-2"/>
    <s v="Normal"/>
  </r>
  <r>
    <d v="2017-03-30T00:00:00"/>
    <n v="876.34002699999996"/>
    <n v="180.73826600000001"/>
    <n v="1079.1099850000001"/>
    <n v="148.05999800000001"/>
    <x v="4"/>
    <s v="Mar"/>
    <x v="3"/>
    <n v="1.1639261799917826E-2"/>
    <n v="6.4961033605855896E-3"/>
    <s v="Normal"/>
  </r>
  <r>
    <d v="2017-03-31T00:00:00"/>
    <n v="886.53997800000002"/>
    <n v="180.924789"/>
    <n v="1086.119995"/>
    <n v="147.80999800000001"/>
    <x v="4"/>
    <s v="Mar"/>
    <x v="3"/>
    <n v="5.606100258684495E-3"/>
    <n v="5.1237455581507746E-2"/>
    <s v="High Volatility"/>
  </r>
  <r>
    <d v="2017-04-03T00:00:00"/>
    <n v="891.51000999999997"/>
    <n v="182.81942699999999"/>
    <n v="1141.7700199999999"/>
    <n v="146.91999799999999"/>
    <x v="4"/>
    <s v="Apr"/>
    <x v="0"/>
    <n v="1.7184335372745881E-2"/>
    <n v="-1.042243603488548E-2"/>
    <s v="Normal"/>
  </r>
  <r>
    <d v="2017-04-04T00:00:00"/>
    <n v="906.830017"/>
    <n v="182.947067"/>
    <n v="1129.869995"/>
    <n v="145.5"/>
    <x v="4"/>
    <s v="Apr"/>
    <x v="0"/>
    <n v="2.7017323578515987E-3"/>
    <n v="5.2067898307185369E-2"/>
    <s v="High Volatility"/>
  </r>
  <r>
    <d v="2017-04-05T00:00:00"/>
    <n v="909.28002900000001"/>
    <n v="181.74941999999999"/>
    <n v="1188.6999510000001"/>
    <n v="143.61999499999999"/>
    <x v="4"/>
    <s v="Apr"/>
    <x v="0"/>
    <n v="-1.2097483337556069E-2"/>
    <n v="1.5058795943367366E-3"/>
    <s v="Normal"/>
  </r>
  <r>
    <d v="2017-04-06T00:00:00"/>
    <n v="898.28002900000001"/>
    <n v="182.593628"/>
    <n v="1190.48999"/>
    <n v="143.740005"/>
    <x v="4"/>
    <s v="Apr"/>
    <x v="0"/>
    <n v="-3.7850379505654469E-3"/>
    <n v="-8.1562726957494381E-3"/>
    <s v="Normal"/>
  </r>
  <r>
    <d v="2017-04-07T00:00:00"/>
    <n v="894.88000499999998"/>
    <n v="171.952179"/>
    <n v="1180.780029"/>
    <n v="143.11000100000001"/>
    <x v="4"/>
    <s v="Apr"/>
    <x v="0"/>
    <n v="1.3588383841473848E-2"/>
    <n v="3.3842002759685921E-2"/>
    <s v="Normal"/>
  </r>
  <r>
    <d v="2017-04-10T00:00:00"/>
    <n v="907.03997800000002"/>
    <n v="170.56797800000001"/>
    <n v="1220.73999"/>
    <n v="143.85000600000001"/>
    <x v="4"/>
    <s v="Apr"/>
    <x v="0"/>
    <n v="-5.1596325559092032E-3"/>
    <n v="-6.725396945503539E-3"/>
    <s v="Normal"/>
  </r>
  <r>
    <d v="2017-04-11T00:00:00"/>
    <n v="902.35998500000005"/>
    <n v="172.295761"/>
    <n v="1212.530029"/>
    <n v="144.35000600000001"/>
    <x v="4"/>
    <s v="Apr"/>
    <x v="0"/>
    <n v="-6.7933032291985955E-3"/>
    <n v="-2.9962208878209939E-2"/>
    <s v="Normal"/>
  </r>
  <r>
    <d v="2017-04-12T00:00:00"/>
    <n v="896.22997999999995"/>
    <n v="171.922729"/>
    <n v="1176.1999510000001"/>
    <n v="143.83000200000001"/>
    <x v="4"/>
    <s v="Apr"/>
    <x v="0"/>
    <n v="-1.289847166237393E-2"/>
    <n v="9.6072525682326161E-4"/>
    <s v="Normal"/>
  </r>
  <r>
    <d v="2017-04-13T00:00:00"/>
    <n v="884.669983"/>
    <n v="170.85266100000001"/>
    <n v="1177.329956"/>
    <n v="142.91999799999999"/>
    <x v="4"/>
    <s v="Apr"/>
    <x v="0"/>
    <n v="1.9577929999688971E-2"/>
    <n v="2.4428164639344288E-2"/>
    <s v="Normal"/>
  </r>
  <r>
    <d v="2017-04-17T00:00:00"/>
    <n v="901.98999000000003"/>
    <n v="171.83436599999999"/>
    <n v="1206.089966"/>
    <n v="147.25"/>
    <x v="4"/>
    <s v="Apr"/>
    <x v="0"/>
    <n v="1.9845441965492087E-3"/>
    <n v="7.5533212752058095E-3"/>
    <s v="Normal"/>
  </r>
  <r>
    <d v="2017-04-18T00:00:00"/>
    <n v="903.78002900000001"/>
    <n v="173.39524800000001"/>
    <n v="1215.1999510000001"/>
    <n v="143.36000100000001"/>
    <x v="4"/>
    <s v="Apr"/>
    <x v="0"/>
    <n v="-5.0676235953870559E-3"/>
    <n v="1.8836418633134018E-2"/>
    <s v="Normal"/>
  </r>
  <r>
    <d v="2017-04-19T00:00:00"/>
    <n v="899.20001200000002"/>
    <n v="172.492096"/>
    <n v="1238.089966"/>
    <n v="139.759995"/>
    <x v="4"/>
    <s v="Apr"/>
    <x v="0"/>
    <n v="3.1805893703657283E-3"/>
    <n v="9.3289254554866051E-3"/>
    <s v="Normal"/>
  </r>
  <r>
    <d v="2017-04-20T00:00:00"/>
    <n v="902.05999799999995"/>
    <n v="173.67012"/>
    <n v="1249.6400149999999"/>
    <n v="141.179993"/>
    <x v="4"/>
    <s v="Apr"/>
    <x v="0"/>
    <n v="-3.9132308358938422E-3"/>
    <n v="-7.00201649672686E-3"/>
    <s v="Normal"/>
  </r>
  <r>
    <d v="2017-04-21T00:00:00"/>
    <n v="898.53002900000001"/>
    <n v="176.01634200000001"/>
    <n v="1240.8900149999999"/>
    <n v="142.86999499999999"/>
    <x v="4"/>
    <s v="Apr"/>
    <x v="0"/>
    <n v="9.8827459443762491E-3"/>
    <n v="1.8873585665849655E-2"/>
    <s v="Normal"/>
  </r>
  <r>
    <d v="2017-04-24T00:00:00"/>
    <n v="907.40997300000004"/>
    <n v="177.28274500000001"/>
    <n v="1264.3100589999999"/>
    <n v="143.83000200000001"/>
    <x v="4"/>
    <s v="Apr"/>
    <x v="0"/>
    <n v="2.3145216192150097E-4"/>
    <n v="1.7653854638832765E-2"/>
    <s v="Normal"/>
  </r>
  <r>
    <d v="2017-04-25T00:00:00"/>
    <n v="907.61999500000002"/>
    <n v="177.28274500000001"/>
    <n v="1286.630005"/>
    <n v="152.16000399999999"/>
    <x v="4"/>
    <s v="Apr"/>
    <x v="0"/>
    <n v="1.8399583627507039E-3"/>
    <n v="3.5969959366834454E-2"/>
    <s v="Normal"/>
  </r>
  <r>
    <d v="2017-04-26T00:00:00"/>
    <n v="909.28997800000002"/>
    <n v="177.64596599999999"/>
    <n v="1332.910034"/>
    <n v="150.16999799999999"/>
    <x v="4"/>
    <s v="Apr"/>
    <x v="0"/>
    <n v="9.9968406338246957E-3"/>
    <n v="-2.4683128763962614E-3"/>
    <s v="Normal"/>
  </r>
  <r>
    <d v="2017-04-27T00:00:00"/>
    <n v="918.38000499999998"/>
    <n v="182.15190100000001"/>
    <n v="1329.619995"/>
    <n v="153.08000200000001"/>
    <x v="4"/>
    <s v="Apr"/>
    <x v="0"/>
    <n v="7.1974400183070749E-3"/>
    <n v="5.0089755155945858E-3"/>
    <s v="Normal"/>
  </r>
  <r>
    <d v="2017-04-28T00:00:00"/>
    <n v="924.98999000000003"/>
    <n v="178.06806900000001"/>
    <n v="1336.280029"/>
    <n v="152.199997"/>
    <x v="4"/>
    <s v="Apr"/>
    <x v="0"/>
    <n v="2.5124585402270052E-2"/>
    <n v="8.2056172823338602E-2"/>
    <s v="High Volatility"/>
  </r>
  <r>
    <d v="2017-05-01T00:00:00"/>
    <n v="948.22997999999995"/>
    <n v="178.823959"/>
    <n v="1445.9300539999999"/>
    <n v="155.35000600000001"/>
    <x v="4"/>
    <s v="May"/>
    <x v="0"/>
    <n v="-1.3604062592493707E-3"/>
    <n v="2.7401045362046274E-2"/>
    <s v="Normal"/>
  </r>
  <r>
    <d v="2017-05-02T00:00:00"/>
    <n v="946.94000200000005"/>
    <n v="181.03277600000001"/>
    <n v="1485.5500489999999"/>
    <n v="156.449997"/>
    <x v="4"/>
    <s v="May"/>
    <x v="0"/>
    <n v="-6.2411271965676614E-3"/>
    <n v="2.1009026939892768E-2"/>
    <s v="Normal"/>
  </r>
  <r>
    <d v="2017-05-03T00:00:00"/>
    <n v="941.03002900000001"/>
    <n v="183.644058"/>
    <n v="1516.76001"/>
    <n v="155.58999600000001"/>
    <x v="4"/>
    <s v="May"/>
    <x v="0"/>
    <n v="-3.7193287059280444E-3"/>
    <n v="-5.927101150299997E-3"/>
    <s v="Normal"/>
  </r>
  <r>
    <d v="2017-05-04T00:00:00"/>
    <n v="937.53002900000001"/>
    <n v="186.90325899999999"/>
    <n v="1507.7700199999999"/>
    <n v="157.25"/>
    <x v="4"/>
    <s v="May"/>
    <x v="0"/>
    <n v="-3.6052231880030618E-3"/>
    <n v="2.488444424700794E-2"/>
    <s v="Normal"/>
  </r>
  <r>
    <d v="2017-05-05T00:00:00"/>
    <n v="934.15002400000003"/>
    <n v="189.583282"/>
    <n v="1545.290039"/>
    <n v="156.60000600000001"/>
    <x v="4"/>
    <s v="May"/>
    <x v="0"/>
    <n v="1.5939574605202803E-2"/>
    <n v="9.8499283085070111E-2"/>
    <s v="High Volatility"/>
  </r>
  <r>
    <d v="2017-05-08T00:00:00"/>
    <n v="949.03997800000002"/>
    <n v="188.76844800000001"/>
    <n v="1697.5"/>
    <n v="156.38000500000001"/>
    <x v="4"/>
    <s v="May"/>
    <x v="0"/>
    <n v="3.9830029162375427E-3"/>
    <n v="3.228869455080996E-2"/>
    <s v="Normal"/>
  </r>
  <r>
    <d v="2017-05-09T00:00:00"/>
    <n v="952.82000700000003"/>
    <n v="191.78225699999999"/>
    <n v="1752.3100589999999"/>
    <n v="157.46000699999999"/>
    <x v="4"/>
    <s v="May"/>
    <x v="0"/>
    <n v="-4.0616223122611414E-3"/>
    <n v="3.822381755784926E-2"/>
    <s v="Normal"/>
  </r>
  <r>
    <d v="2017-05-10T00:00:00"/>
    <n v="948.95001200000002"/>
    <n v="192.08656300000001"/>
    <n v="1819.290039"/>
    <n v="160.279999"/>
    <x v="4"/>
    <s v="May"/>
    <x v="0"/>
    <n v="-1.4015669773762519E-3"/>
    <n v="-7.3050487361020516E-2"/>
    <s v="High Volatility"/>
  </r>
  <r>
    <d v="2017-05-11T00:00:00"/>
    <n v="947.61999500000002"/>
    <n v="191.80186499999999"/>
    <n v="1686.3900149999999"/>
    <n v="158.53999300000001"/>
    <x v="4"/>
    <s v="May"/>
    <x v="0"/>
    <n v="1.4488910188097025E-2"/>
    <n v="4.5867192234294682E-2"/>
    <s v="Normal"/>
  </r>
  <r>
    <d v="2017-05-12T00:00:00"/>
    <n v="961.34997599999997"/>
    <n v="191.70370500000001"/>
    <n v="1763.73999"/>
    <n v="160.80999800000001"/>
    <x v="4"/>
    <s v="May"/>
    <x v="0"/>
    <n v="-3.5158944030597061E-3"/>
    <n v="-1.9504022245365106E-2"/>
    <s v="Normal"/>
  </r>
  <r>
    <d v="2017-05-15T00:00:00"/>
    <n v="957.96997099999999"/>
    <n v="192.92098999999999"/>
    <n v="1729.339966"/>
    <n v="160.020004"/>
    <x v="4"/>
    <s v="May"/>
    <x v="0"/>
    <n v="8.4554174402195811E-3"/>
    <n v="4.1611299348181453E-2"/>
    <s v="Normal"/>
  </r>
  <r>
    <d v="2017-05-16T00:00:00"/>
    <n v="966.07000700000003"/>
    <n v="192.636292"/>
    <n v="1801.3000489999999"/>
    <n v="159.41000399999999"/>
    <x v="4"/>
    <s v="May"/>
    <x v="0"/>
    <n v="-2.2058439704773967E-2"/>
    <n v="4.4240236957879576E-2"/>
    <s v="Normal"/>
  </r>
  <r>
    <d v="2017-05-17T00:00:00"/>
    <n v="944.76000999999997"/>
    <n v="187.953644"/>
    <n v="1880.98999"/>
    <n v="153.199997"/>
    <x v="4"/>
    <s v="May"/>
    <x v="0"/>
    <n v="1.453277007353441E-2"/>
    <n v="4.3067751785324473E-2"/>
    <s v="Normal"/>
  </r>
  <r>
    <d v="2017-05-18T00:00:00"/>
    <n v="958.48999000000003"/>
    <n v="191.14413500000001"/>
    <n v="1962"/>
    <n v="155.699997"/>
    <x v="4"/>
    <s v="May"/>
    <x v="0"/>
    <n v="1.4085040157799972E-3"/>
    <n v="3.9847122324158983E-2"/>
    <s v="Normal"/>
  </r>
  <r>
    <d v="2017-05-19T00:00:00"/>
    <n v="959.84002699999996"/>
    <n v="192.214157"/>
    <n v="2040.1800539999999"/>
    <n v="157.020004"/>
    <x v="4"/>
    <s v="May"/>
    <x v="0"/>
    <n v="1.1283084363390525E-2"/>
    <n v="0.11391152635982002"/>
    <s v="High Volatility"/>
  </r>
  <r>
    <d v="2017-05-22T00:00:00"/>
    <n v="970.669983"/>
    <n v="195.178864"/>
    <n v="2272.580078"/>
    <n v="157.16000399999999"/>
    <x v="4"/>
    <s v="May"/>
    <x v="0"/>
    <n v="8.9628299549468732E-4"/>
    <n v="7.5992900171854824E-2"/>
    <s v="High Volatility"/>
  </r>
  <r>
    <d v="2017-05-23T00:00:00"/>
    <n v="971.53997800000002"/>
    <n v="195.60101299999999"/>
    <n v="2445.280029"/>
    <n v="157.949997"/>
    <x v="4"/>
    <s v="May"/>
    <x v="0"/>
    <n v="9.068075631983875E-3"/>
    <n v="-5.6459814975244306E-2"/>
    <s v="High Volatility"/>
  </r>
  <r>
    <d v="2017-05-24T00:00:00"/>
    <n v="980.34997599999997"/>
    <n v="202.197937"/>
    <n v="2307.219971"/>
    <n v="157.75"/>
    <x v="4"/>
    <s v="May"/>
    <x v="0"/>
    <n v="1.3291201427029987E-2"/>
    <n v="-2.7015229923215655E-2"/>
    <s v="Normal"/>
  </r>
  <r>
    <d v="2017-05-25T00:00:00"/>
    <n v="993.38000499999998"/>
    <n v="204.229996"/>
    <n v="2244.889893"/>
    <n v="163.050003"/>
    <x v="4"/>
    <s v="May"/>
    <x v="0"/>
    <n v="2.4160180272604042E-3"/>
    <n v="-8.573247249236024E-2"/>
    <s v="High Volatility"/>
  </r>
  <r>
    <d v="2017-05-26T00:00:00"/>
    <n v="995.78002900000001"/>
    <n v="203.25813299999999"/>
    <n v="2052.429932"/>
    <n v="162.429993"/>
    <x v="4"/>
    <s v="May"/>
    <x v="0"/>
    <n v="9.2388175421019819E-4"/>
    <n v="0.12225029078361732"/>
    <s v="High Volatility"/>
  </r>
  <r>
    <d v="2017-05-30T00:00:00"/>
    <n v="996.70001200000002"/>
    <n v="204.671753"/>
    <n v="2303.3400879999999"/>
    <n v="163.220001"/>
    <x v="4"/>
    <s v="May"/>
    <x v="0"/>
    <n v="-2.0869037573564291E-3"/>
    <n v="4.7457088325551774E-2"/>
    <s v="Normal"/>
  </r>
  <r>
    <d v="2017-05-31T00:00:00"/>
    <n v="994.61999500000002"/>
    <n v="207.84260599999999"/>
    <n v="2412.6499020000001"/>
    <n v="163.070007"/>
    <x v="4"/>
    <s v="May"/>
    <x v="0"/>
    <n v="1.337211202957968E-3"/>
    <n v="3.3137918573981219E-2"/>
    <s v="Normal"/>
  </r>
  <r>
    <d v="2017-06-01T00:00:00"/>
    <n v="995.95001200000002"/>
    <n v="211.39631700000001"/>
    <n v="2492.6000979999999"/>
    <n v="162.990005"/>
    <x v="4"/>
    <s v="Jun"/>
    <x v="0"/>
    <n v="1.0823804277437912E-2"/>
    <n v="2.1194668989377583E-2"/>
    <s v="Normal"/>
  </r>
  <r>
    <d v="2017-06-02T00:00:00"/>
    <n v="1006.72998"/>
    <n v="214.05668600000001"/>
    <n v="2545.429932"/>
    <n v="165.179993"/>
    <x v="4"/>
    <s v="Jun"/>
    <x v="0"/>
    <n v="4.5792288812140161E-3"/>
    <n v="0.12770733301803572"/>
    <s v="High Volatility"/>
  </r>
  <r>
    <d v="2017-06-05T00:00:00"/>
    <n v="1011.340027"/>
    <n v="213.12406899999999"/>
    <n v="2870.5"/>
    <n v="165.05999800000001"/>
    <x v="4"/>
    <s v="Jun"/>
    <x v="0"/>
    <n v="-8.2465113387625907E-3"/>
    <n v="-6.2354986936073865E-2"/>
    <s v="High Volatility"/>
  </r>
  <r>
    <d v="2017-06-06T00:00:00"/>
    <n v="1003"/>
    <n v="213.86035200000001"/>
    <n v="2691.51001"/>
    <n v="165.16999799999999"/>
    <x v="4"/>
    <s v="Jun"/>
    <x v="0"/>
    <n v="7.0488604187438006E-3"/>
    <n v="3.9854958221017374E-2"/>
    <s v="Normal"/>
  </r>
  <r>
    <d v="2017-06-07T00:00:00"/>
    <n v="1010.070007"/>
    <n v="214.15484599999999"/>
    <n v="2798.780029"/>
    <n v="165.61000100000001"/>
    <x v="4"/>
    <s v="Jun"/>
    <x v="0"/>
    <n v="1.9801894780943895E-4"/>
    <n v="4.5197917910396786E-3"/>
    <s v="Normal"/>
  </r>
  <r>
    <d v="2017-06-08T00:00:00"/>
    <n v="1010.27002"/>
    <n v="213.88980100000001"/>
    <n v="2811.429932"/>
    <n v="165.88000500000001"/>
    <x v="4"/>
    <s v="Jun"/>
    <x v="0"/>
    <n v="-3.1635128596610336E-2"/>
    <n v="3.159248857282209E-2"/>
    <s v="Normal"/>
  </r>
  <r>
    <d v="2017-06-09T00:00:00"/>
    <n v="978.30999799999995"/>
    <n v="202.413895"/>
    <n v="2900.25"/>
    <n v="158.029999"/>
    <x v="4"/>
    <s v="Jun"/>
    <x v="0"/>
    <n v="-1.3697115461759713E-2"/>
    <n v="-6.4566851133522965E-2"/>
    <s v="High Volatility"/>
  </r>
  <r>
    <d v="2017-06-12T00:00:00"/>
    <n v="964.90997300000004"/>
    <n v="200.33273299999999"/>
    <n v="2712.98999"/>
    <n v="151.44000199999999"/>
    <x v="4"/>
    <s v="Jun"/>
    <x v="0"/>
    <n v="1.6457499087326754E-2"/>
    <n v="-9.0571646377508419E-2"/>
    <s v="High Volatility"/>
  </r>
  <r>
    <d v="2017-06-13T00:00:00"/>
    <n v="980.78997800000002"/>
    <n v="205.04560900000001"/>
    <n v="2467.2700199999999"/>
    <n v="152.720001"/>
    <x v="4"/>
    <s v="Jun"/>
    <x v="0"/>
    <n v="-4.4046198441069634E-3"/>
    <n v="-1.0055672382384766E-2"/>
    <s v="Normal"/>
  </r>
  <r>
    <d v="2017-06-14T00:00:00"/>
    <n v="976.46997099999999"/>
    <n v="207.17085299999999"/>
    <n v="2442.459961"/>
    <n v="152.199997"/>
    <x v="4"/>
    <s v="Jun"/>
    <x v="0"/>
    <n v="-1.2596381215290834E-2"/>
    <n v="2.7071116028828911E-2"/>
    <s v="Normal"/>
  </r>
  <r>
    <d v="2017-06-15T00:00:00"/>
    <n v="964.169983"/>
    <n v="206.18695099999999"/>
    <n v="2508.580078"/>
    <n v="151.759995"/>
    <x v="4"/>
    <s v="Jun"/>
    <x v="0"/>
    <n v="2.4414822505421204E-2"/>
    <n v="5.8407551461069976E-2"/>
    <s v="High Volatility"/>
  </r>
  <r>
    <d v="2017-06-16T00:00:00"/>
    <n v="987.71002199999998"/>
    <n v="207.44635"/>
    <n v="2655.1000979999999"/>
    <n v="152.38000500000001"/>
    <x v="4"/>
    <s v="Jun"/>
    <x v="0"/>
    <n v="7.5527845560323988E-3"/>
    <n v="3.7392106261750505E-2"/>
    <s v="Normal"/>
  </r>
  <r>
    <d v="2017-06-19T00:00:00"/>
    <n v="995.169983"/>
    <n v="212.25762900000001"/>
    <n v="2754.3798830000001"/>
    <n v="153.39999399999999"/>
    <x v="4"/>
    <s v="Jun"/>
    <x v="0"/>
    <n v="-2.5924777114183098E-3"/>
    <n v="-2.7868256834781755E-2"/>
    <s v="Normal"/>
  </r>
  <r>
    <d v="2017-06-20T00:00:00"/>
    <n v="992.59002699999996"/>
    <n v="211.568893"/>
    <n v="2677.6201169999999"/>
    <n v="152.050003"/>
    <x v="4"/>
    <s v="Jun"/>
    <x v="0"/>
    <n v="9.7119180505326509E-3"/>
    <n v="1.6888120429370074E-2"/>
    <s v="Normal"/>
  </r>
  <r>
    <d v="2017-06-21T00:00:00"/>
    <n v="1002.22998"/>
    <n v="212.61184700000001"/>
    <n v="2722.8400879999999"/>
    <n v="155.029999"/>
    <x v="4"/>
    <s v="Jun"/>
    <x v="0"/>
    <n v="-9.2792275082408755E-4"/>
    <n v="-4.5797661988881324E-3"/>
    <s v="Normal"/>
  </r>
  <r>
    <d v="2017-06-22T00:00:00"/>
    <n v="1001.299988"/>
    <n v="214.579666"/>
    <n v="2710.3701169999999"/>
    <n v="154.88999899999999"/>
    <x v="4"/>
    <s v="Jun"/>
    <x v="0"/>
    <n v="2.4368341448537494E-3"/>
    <n v="-4.4392486194165047E-2"/>
    <s v="Normal"/>
  </r>
  <r>
    <d v="2017-06-23T00:00:00"/>
    <n v="1003.73999"/>
    <n v="213.55641199999999"/>
    <n v="2590.0500489999999"/>
    <n v="158.020004"/>
    <x v="4"/>
    <s v="Jun"/>
    <x v="0"/>
    <n v="-9.7236436699110491E-3"/>
    <n v="-2.4324043477199791E-3"/>
    <s v="Normal"/>
  </r>
  <r>
    <d v="2017-06-26T00:00:00"/>
    <n v="993.97997999999995"/>
    <n v="215.356934"/>
    <n v="2583.75"/>
    <n v="157.5"/>
    <x v="4"/>
    <s v="Jun"/>
    <x v="0"/>
    <n v="-1.7304122161494583E-2"/>
    <n v="-2.3260803096274664E-3"/>
    <s v="Normal"/>
  </r>
  <r>
    <d v="2017-06-27T00:00:00"/>
    <n v="976.78002900000001"/>
    <n v="209.70931999999999"/>
    <n v="2577.73999"/>
    <n v="151.029999"/>
    <x v="4"/>
    <s v="Jun"/>
    <x v="0"/>
    <n v="1.387209770645299E-2"/>
    <n v="-7.5142850229825151E-3"/>
    <s v="Normal"/>
  </r>
  <r>
    <d v="2017-06-28T00:00:00"/>
    <n v="990.330017"/>
    <n v="210.16194200000001"/>
    <n v="2558.3701169999999"/>
    <n v="153.41000399999999"/>
    <x v="4"/>
    <s v="Jun"/>
    <x v="0"/>
    <n v="-1.4540631660970881E-2"/>
    <n v="-3.0394355172965761E-2"/>
    <s v="Normal"/>
  </r>
  <r>
    <d v="2017-06-29T00:00:00"/>
    <n v="975.92999299999997"/>
    <n v="207.357788"/>
    <n v="2480.610107"/>
    <n v="150.08999600000001"/>
    <x v="4"/>
    <s v="Jun"/>
    <x v="0"/>
    <n v="-8.1255756630895636E-3"/>
    <n v="-2.2575091443018135E-2"/>
    <s v="Normal"/>
  </r>
  <r>
    <d v="2017-06-30T00:00:00"/>
    <n v="968"/>
    <n v="208.12522899999999"/>
    <n v="2424.610107"/>
    <n v="149.41000399999999"/>
    <x v="4"/>
    <s v="Jun"/>
    <x v="0"/>
    <n v="-1.4814077479338805E-2"/>
    <n v="7.9480804127490187E-2"/>
    <s v="High Volatility"/>
  </r>
  <r>
    <d v="2017-07-03T00:00:00"/>
    <n v="953.65997300000004"/>
    <n v="206.54113799999999"/>
    <n v="2617.320068"/>
    <n v="146.16999799999999"/>
    <x v="4"/>
    <s v="Jul"/>
    <x v="1"/>
    <n v="1.8602071495350463E-2"/>
    <n v="-1.1768060153046433E-3"/>
    <s v="Normal"/>
  </r>
  <r>
    <d v="2017-07-05T00:00:00"/>
    <n v="971.40002400000003"/>
    <n v="204.68158"/>
    <n v="2614.23999"/>
    <n v="147.61000100000001"/>
    <x v="4"/>
    <s v="Jul"/>
    <x v="1"/>
    <n v="-6.4443162912667185E-3"/>
    <n v="-3.8389783410818362E-2"/>
    <s v="Normal"/>
  </r>
  <r>
    <d v="2017-07-06T00:00:00"/>
    <n v="965.14001499999995"/>
    <n v="205.4785"/>
    <n v="2513.8798830000001"/>
    <n v="146.25"/>
    <x v="4"/>
    <s v="Jul"/>
    <x v="1"/>
    <n v="1.4111936908967573E-2"/>
    <n v="2.0279498771898923E-2"/>
    <s v="Normal"/>
  </r>
  <r>
    <d v="2017-07-07T00:00:00"/>
    <n v="978.76000999999997"/>
    <n v="208.90254200000001"/>
    <n v="2564.860107"/>
    <n v="150.179993"/>
    <x v="4"/>
    <s v="Jul"/>
    <x v="1"/>
    <n v="1.8094283398440054E-2"/>
    <n v="-9.3794615676479856E-2"/>
    <s v="High Volatility"/>
  </r>
  <r>
    <d v="2017-07-10T00:00:00"/>
    <n v="996.46997099999999"/>
    <n v="208.21379099999999"/>
    <n v="2324.290039"/>
    <n v="152.66999799999999"/>
    <x v="4"/>
    <s v="Jul"/>
    <x v="1"/>
    <n v="-2.3482554096956364E-3"/>
    <n v="3.3902846752250762E-2"/>
    <s v="Normal"/>
  </r>
  <r>
    <d v="2017-07-11T00:00:00"/>
    <n v="994.13000499999998"/>
    <n v="208.69592299999999"/>
    <n v="2403.0900879999999"/>
    <n v="154.33000200000001"/>
    <x v="4"/>
    <s v="Jul"/>
    <x v="1"/>
    <n v="1.2453104662100993E-2"/>
    <n v="-1.6915781560994825E-2"/>
    <s v="Normal"/>
  </r>
  <r>
    <d v="2017-07-12T00:00:00"/>
    <n v="1006.51001"/>
    <n v="210.10287500000001"/>
    <n v="2362.4399410000001"/>
    <n v="158.75"/>
    <x v="4"/>
    <s v="Jul"/>
    <x v="1"/>
    <n v="-5.8419736928398587E-3"/>
    <n v="-5.4295568227526868E-2"/>
    <s v="High Volatility"/>
  </r>
  <r>
    <d v="2017-07-13T00:00:00"/>
    <n v="1000.630005"/>
    <n v="207.062622"/>
    <n v="2234.169922"/>
    <n v="158.21000699999999"/>
    <x v="4"/>
    <s v="Jul"/>
    <x v="1"/>
    <n v="1.1792500665617834E-3"/>
    <n v="-0.11596699223668092"/>
    <s v="High Volatility"/>
  </r>
  <r>
    <d v="2017-07-14T00:00:00"/>
    <n v="1001.809998"/>
    <n v="205.84259"/>
    <n v="1975.079956"/>
    <n v="161.11999499999999"/>
    <x v="4"/>
    <s v="Jul"/>
    <x v="1"/>
    <n v="8.2151106661246046E-3"/>
    <n v="0.17475243113651448"/>
    <s v="High Volatility"/>
  </r>
  <r>
    <d v="2017-07-17T00:00:00"/>
    <n v="1010.039978"/>
    <n v="204.89802599999999"/>
    <n v="2320.2299800000001"/>
    <n v="161.699997"/>
    <x v="4"/>
    <s v="Jul"/>
    <x v="1"/>
    <n v="1.4266735291541139E-2"/>
    <n v="-1.6226797483239186E-2"/>
    <s v="Normal"/>
  </r>
  <r>
    <d v="2017-07-18T00:00:00"/>
    <n v="1024.4499510000001"/>
    <n v="208.04650899999999"/>
    <n v="2282.580078"/>
    <n v="183.60000600000001"/>
    <x v="4"/>
    <s v="Jul"/>
    <x v="1"/>
    <n v="2.3622862177285239E-3"/>
    <n v="0.25560546489620239"/>
    <s v="High Volatility"/>
  </r>
  <r>
    <d v="2017-07-19T00:00:00"/>
    <n v="1026.869995"/>
    <n v="209.09930399999999"/>
    <n v="2866.0200199999999"/>
    <n v="183.86000100000001"/>
    <x v="4"/>
    <s v="Jul"/>
    <x v="1"/>
    <n v="1.7820717412237157E-3"/>
    <n v="-6.6621984727099001E-2"/>
    <s v="High Volatility"/>
  </r>
  <r>
    <d v="2017-07-20T00:00:00"/>
    <n v="1028.6999510000001"/>
    <n v="209.02058400000001"/>
    <n v="2675.080078"/>
    <n v="183.60000600000001"/>
    <x v="4"/>
    <s v="Jul"/>
    <x v="1"/>
    <n v="-2.9453748851205044E-3"/>
    <n v="6.0353315150366148E-2"/>
    <s v="High Volatility"/>
  </r>
  <r>
    <d v="2017-07-21T00:00:00"/>
    <n v="1025.670044"/>
    <n v="209.78804"/>
    <n v="2836.530029"/>
    <n v="188.53999300000001"/>
    <x v="4"/>
    <s v="Jul"/>
    <x v="1"/>
    <n v="1.2947543001460705E-2"/>
    <n v="-8.9528384471053338E-2"/>
    <s v="High Volatility"/>
  </r>
  <r>
    <d v="2017-07-24T00:00:00"/>
    <n v="1038.9499510000001"/>
    <n v="210.52595500000001"/>
    <n v="2582.580078"/>
    <n v="187.91000399999999"/>
    <x v="4"/>
    <s v="Jul"/>
    <x v="1"/>
    <n v="8.8555180075268285E-4"/>
    <n v="-9.0491354746677233E-3"/>
    <s v="Normal"/>
  </r>
  <r>
    <d v="2017-07-25T00:00:00"/>
    <n v="1039.869995"/>
    <n v="189.303146"/>
    <n v="2559.209961"/>
    <n v="186.970001"/>
    <x v="4"/>
    <s v="Jul"/>
    <x v="1"/>
    <n v="1.2434298577871676E-2"/>
    <n v="5.1840186628595276E-2"/>
    <s v="High Volatility"/>
  </r>
  <r>
    <d v="2017-07-26T00:00:00"/>
    <n v="1052.8000489999999"/>
    <n v="183.429214"/>
    <n v="2691.8798830000001"/>
    <n v="189.08000200000001"/>
    <x v="4"/>
    <s v="Jul"/>
    <x v="1"/>
    <n v="-6.4590128072837356E-3"/>
    <n v="4.2672824194511037E-2"/>
    <s v="Normal"/>
  </r>
  <r>
    <d v="2017-07-27T00:00:00"/>
    <n v="1046"/>
    <n v="179.493607"/>
    <n v="2806.75"/>
    <n v="182.679993"/>
    <x v="4"/>
    <s v="Jul"/>
    <x v="1"/>
    <n v="-2.4818376673040134E-2"/>
    <n v="-2.6097799946557407E-2"/>
    <s v="Normal"/>
  </r>
  <r>
    <d v="2017-07-28T00:00:00"/>
    <n v="1020.039978"/>
    <n v="180.14300499999999"/>
    <n v="2733.5"/>
    <n v="184.03999300000001"/>
    <x v="4"/>
    <s v="Jul"/>
    <x v="1"/>
    <n v="-3.1626161420900703E-2"/>
    <n v="4.9350612767514301E-3"/>
    <s v="Normal"/>
  </r>
  <r>
    <d v="2017-07-31T00:00:00"/>
    <n v="987.78002900000001"/>
    <n v="183.498108"/>
    <n v="2746.98999"/>
    <n v="181.66000399999999"/>
    <x v="4"/>
    <s v="Jul"/>
    <x v="1"/>
    <n v="8.5140140042252628E-3"/>
    <n v="-9.6323470767361707E-3"/>
    <s v="Normal"/>
  </r>
  <r>
    <d v="2017-08-01T00:00:00"/>
    <n v="996.19000200000005"/>
    <n v="183.448914"/>
    <n v="2720.530029"/>
    <n v="182.029999"/>
    <x v="4"/>
    <s v="Aug"/>
    <x v="1"/>
    <n v="-3.0113432116145756E-4"/>
    <n v="3.2883283788961999E-2"/>
    <s v="Normal"/>
  </r>
  <r>
    <d v="2017-08-02T00:00:00"/>
    <n v="995.89001499999995"/>
    <n v="189.25393700000001"/>
    <n v="2809.98999"/>
    <n v="180.740005"/>
    <x v="4"/>
    <s v="Aug"/>
    <x v="1"/>
    <n v="-9.0070508438624582E-3"/>
    <n v="2.4377311038036829E-2"/>
    <s v="Normal"/>
  </r>
  <r>
    <d v="2017-08-03T00:00:00"/>
    <n v="986.919983"/>
    <n v="195.039322"/>
    <n v="2878.48999"/>
    <n v="179.229996"/>
    <x v="4"/>
    <s v="Aug"/>
    <x v="1"/>
    <n v="6.6878167568727406E-4"/>
    <n v="0.13351099372765229"/>
    <s v="High Volatility"/>
  </r>
  <r>
    <d v="2017-08-04T00:00:00"/>
    <n v="987.580017"/>
    <n v="193.62249800000001"/>
    <n v="3262.8000489999999"/>
    <n v="180.270004"/>
    <x v="4"/>
    <s v="Aug"/>
    <x v="1"/>
    <n v="4.7489853169032344E-3"/>
    <n v="5.1054257539028286E-2"/>
    <s v="High Volatility"/>
  </r>
  <r>
    <d v="2017-08-07T00:00:00"/>
    <n v="992.27002000000005"/>
    <n v="192.284378"/>
    <n v="3429.3798830000001"/>
    <n v="181.33000200000001"/>
    <x v="4"/>
    <s v="Aug"/>
    <x v="1"/>
    <n v="-2.4489231267917186E-3"/>
    <n v="-2.3499829925374319E-2"/>
    <s v="Normal"/>
  </r>
  <r>
    <d v="2017-08-08T00:00:00"/>
    <n v="989.84002699999996"/>
    <n v="189.04733300000001"/>
    <n v="3348.790039"/>
    <n v="178.36000100000001"/>
    <x v="4"/>
    <s v="Aug"/>
    <x v="1"/>
    <n v="-7.9103863113428111E-3"/>
    <n v="2.2957510654492263E-2"/>
    <s v="Normal"/>
  </r>
  <r>
    <d v="2017-08-09T00:00:00"/>
    <n v="982.01000999999997"/>
    <n v="190.71012899999999"/>
    <n v="3425.669922"/>
    <n v="175.779999"/>
    <x v="4"/>
    <s v="Aug"/>
    <x v="1"/>
    <n v="-2.5549665221844292E-2"/>
    <n v="6.6760721320890851E-2"/>
    <s v="High Volatility"/>
  </r>
  <r>
    <d v="2017-08-10T00:00:00"/>
    <n v="956.919983"/>
    <n v="189.431061"/>
    <n v="3654.3701169999999"/>
    <n v="169.13999899999999"/>
    <x v="4"/>
    <s v="Aug"/>
    <x v="1"/>
    <n v="1.156837269224425E-2"/>
    <n v="5.944936967094841E-2"/>
    <s v="High Volatility"/>
  </r>
  <r>
    <d v="2017-08-11T00:00:00"/>
    <n v="967.98999000000003"/>
    <n v="189.755753"/>
    <n v="3871.6201169999999"/>
    <n v="171.39999399999999"/>
    <x v="4"/>
    <s v="Aug"/>
    <x v="1"/>
    <n v="1.5816277191048174E-2"/>
    <n v="7.4914384736884554E-2"/>
    <s v="High Volatility"/>
  </r>
  <r>
    <d v="2017-08-14T00:00:00"/>
    <n v="983.29998799999998"/>
    <n v="190.78883400000001"/>
    <n v="4161.6601559999999"/>
    <n v="171"/>
    <x v="4"/>
    <s v="Aug"/>
    <x v="1"/>
    <n v="-5.6950880385849294E-4"/>
    <n v="5.4242715055563565E-2"/>
    <s v="High Volatility"/>
  </r>
  <r>
    <d v="2017-08-15T00:00:00"/>
    <n v="982.73999000000003"/>
    <n v="185.14125100000001"/>
    <n v="4387.3999020000001"/>
    <n v="168.5"/>
    <x v="4"/>
    <s v="Aug"/>
    <x v="1"/>
    <n v="-4.6400849119817202E-3"/>
    <n v="-2.4725345859297979E-2"/>
    <s v="Normal"/>
  </r>
  <r>
    <d v="2017-08-16T00:00:00"/>
    <n v="978.17999299999997"/>
    <n v="184.649292"/>
    <n v="4278.919922"/>
    <n v="169.979996"/>
    <x v="4"/>
    <s v="Aug"/>
    <x v="1"/>
    <n v="-1.8002807383119251E-2"/>
    <n v="-4.0559255177386247E-2"/>
    <s v="Normal"/>
  </r>
  <r>
    <d v="2017-08-17T00:00:00"/>
    <n v="960.57000700000003"/>
    <n v="185.22979699999999"/>
    <n v="4105.3701170000004"/>
    <n v="166.08999600000001"/>
    <x v="4"/>
    <s v="Aug"/>
    <x v="1"/>
    <n v="-2.1862394044123486E-3"/>
    <n v="1.0980758546793883E-2"/>
    <s v="Normal"/>
  </r>
  <r>
    <d v="2017-08-18T00:00:00"/>
    <n v="958.46997099999999"/>
    <n v="185.62335200000001"/>
    <n v="4150.4501950000003"/>
    <n v="166.53999300000001"/>
    <x v="4"/>
    <s v="Aug"/>
    <x v="1"/>
    <n v="-5.4044395304273622E-3"/>
    <n v="-1.4637025176976081E-2"/>
    <s v="Normal"/>
  </r>
  <r>
    <d v="2017-08-21T00:00:00"/>
    <n v="953.28997800000002"/>
    <n v="186.430115"/>
    <n v="4089.6999510000001"/>
    <n v="166.759995"/>
    <x v="4"/>
    <s v="Aug"/>
    <x v="1"/>
    <n v="1.4276921308408018E-2"/>
    <n v="1.2565687853808039E-2"/>
    <s v="Normal"/>
  </r>
  <r>
    <d v="2017-08-22T00:00:00"/>
    <n v="966.90002400000003"/>
    <n v="185.96771200000001"/>
    <n v="4141.0898440000001"/>
    <n v="169.33999600000001"/>
    <x v="4"/>
    <s v="Aug"/>
    <x v="1"/>
    <n v="-9.2046993268044743E-3"/>
    <n v="4.2805218113495198E-2"/>
    <s v="Normal"/>
  </r>
  <r>
    <d v="2017-08-23T00:00:00"/>
    <n v="958"/>
    <n v="184.66897599999999"/>
    <n v="4318.3500979999999"/>
    <n v="169.05999800000001"/>
    <x v="4"/>
    <s v="Aug"/>
    <x v="1"/>
    <n v="-5.7933068893528021E-3"/>
    <n v="1.0666124087839074E-2"/>
    <s v="Normal"/>
  </r>
  <r>
    <d v="2017-08-24T00:00:00"/>
    <n v="952.45001200000002"/>
    <n v="180.349625"/>
    <n v="4364.4101559999999"/>
    <n v="168.13000500000001"/>
    <x v="4"/>
    <s v="Aug"/>
    <x v="1"/>
    <n v="-7.5489547056670613E-3"/>
    <n v="-2.7747967232986761E-3"/>
    <s v="Normal"/>
  </r>
  <r>
    <d v="2017-08-25T00:00:00"/>
    <n v="945.26000999999997"/>
    <n v="175.853195"/>
    <n v="4352.2998049999997"/>
    <n v="165.949997"/>
    <x v="4"/>
    <s v="Aug"/>
    <x v="1"/>
    <n v="8.0402216528770675E-4"/>
    <n v="5.6294433972248092E-2"/>
    <s v="High Volatility"/>
  </r>
  <r>
    <d v="2017-08-28T00:00:00"/>
    <n v="946.02002000000005"/>
    <n v="175.88270600000001"/>
    <n v="4597.3100590000004"/>
    <n v="167.11999499999999"/>
    <x v="4"/>
    <s v="Aug"/>
    <x v="1"/>
    <n v="8.498739804681835E-3"/>
    <n v="-3.1083478853085626E-3"/>
    <s v="Normal"/>
  </r>
  <r>
    <d v="2017-08-29T00:00:00"/>
    <n v="954.05999799999995"/>
    <n v="175.508835"/>
    <n v="4583.0200199999999"/>
    <n v="168.80999800000001"/>
    <x v="4"/>
    <s v="Aug"/>
    <x v="1"/>
    <n v="1.4181528445132456E-2"/>
    <n v="3.3185507009851498E-2"/>
    <s v="Normal"/>
  </r>
  <r>
    <d v="2017-08-30T00:00:00"/>
    <n v="967.59002699999996"/>
    <n v="176.04994199999999"/>
    <n v="4735.1098629999997"/>
    <n v="174.69000199999999"/>
    <x v="4"/>
    <s v="Aug"/>
    <x v="1"/>
    <n v="1.3445724570288493E-2"/>
    <n v="3.9437360568797479E-2"/>
    <s v="Normal"/>
  </r>
  <r>
    <d v="2017-08-31T00:00:00"/>
    <n v="980.59997599999997"/>
    <n v="179.32635500000001"/>
    <n v="4921.8500979999999"/>
    <n v="174.71000699999999"/>
    <x v="4"/>
    <s v="Aug"/>
    <x v="1"/>
    <n v="-2.3964675275496535E-3"/>
    <n v="-7.0715337946076609E-2"/>
    <s v="High Volatility"/>
  </r>
  <r>
    <d v="2017-09-01T00:00:00"/>
    <n v="978.25"/>
    <n v="180.63493299999999"/>
    <n v="4573.7998049999997"/>
    <n v="174.740005"/>
    <x v="4"/>
    <s v="Sep"/>
    <x v="1"/>
    <n v="-1.3268571428571383E-2"/>
    <n v="9.8190034358095219E-3"/>
    <s v="Normal"/>
  </r>
  <r>
    <d v="2017-09-05T00:00:00"/>
    <n v="965.27002000000005"/>
    <n v="179.56248500000001"/>
    <n v="4618.7099609999996"/>
    <n v="174.520004"/>
    <x v="4"/>
    <s v="Sep"/>
    <x v="1"/>
    <n v="2.6209951076693956E-3"/>
    <n v="3.6568949214432658E-3"/>
    <s v="Normal"/>
  </r>
  <r>
    <d v="2017-09-06T00:00:00"/>
    <n v="967.79998799999998"/>
    <n v="179.69042999999999"/>
    <n v="4635.6000979999999"/>
    <n v="179.25"/>
    <x v="4"/>
    <s v="Sep"/>
    <x v="1"/>
    <n v="1.205825908731051E-2"/>
    <n v="-6.6690373730335428E-2"/>
    <s v="High Volatility"/>
  </r>
  <r>
    <d v="2017-09-07T00:00:00"/>
    <n v="979.46997099999999"/>
    <n v="180.36930799999999"/>
    <n v="4326.4501950000003"/>
    <n v="179"/>
    <x v="4"/>
    <s v="Sep"/>
    <x v="1"/>
    <n v="-1.3854377777550013E-2"/>
    <n v="2.0061915909791858E-3"/>
    <s v="Normal"/>
  </r>
  <r>
    <d v="2017-09-08T00:00:00"/>
    <n v="965.90002400000003"/>
    <n v="183.429214"/>
    <n v="4335.1298829999996"/>
    <n v="176.41999799999999"/>
    <x v="4"/>
    <s v="Sep"/>
    <x v="1"/>
    <n v="1.2485762191056691E-2"/>
    <n v="-4.0646985385835457E-2"/>
    <s v="Normal"/>
  </r>
  <r>
    <d v="2017-09-11T00:00:00"/>
    <n v="977.96002199999998"/>
    <n v="185.97756999999999"/>
    <n v="4158.919922"/>
    <n v="181.740005"/>
    <x v="4"/>
    <s v="Sep"/>
    <x v="1"/>
    <n v="4.7241143769371965E-3"/>
    <n v="-6.9400202074869397E-2"/>
    <s v="High Volatility"/>
  </r>
  <r>
    <d v="2017-09-12T00:00:00"/>
    <n v="982.580017"/>
    <n v="186.863068"/>
    <n v="3870.290039"/>
    <n v="185.14999399999999"/>
    <x v="4"/>
    <s v="Sep"/>
    <x v="1"/>
    <n v="1.7321702767745147E-2"/>
    <n v="-0.16205761187914941"/>
    <s v="High Volatility"/>
  </r>
  <r>
    <d v="2017-09-13T00:00:00"/>
    <n v="999.59997599999997"/>
    <n v="185.51513700000001"/>
    <n v="3243.080078"/>
    <n v="183.63999899999999"/>
    <x v="4"/>
    <s v="Sep"/>
    <x v="1"/>
    <n v="-7.392911341966648E-3"/>
    <n v="0.14513361393477131"/>
    <s v="High Volatility"/>
  </r>
  <r>
    <d v="2017-09-14T00:00:00"/>
    <n v="992.21002199999998"/>
    <n v="187.31021100000001"/>
    <n v="3713.76001"/>
    <n v="182.63000500000001"/>
    <x v="4"/>
    <s v="Sep"/>
    <x v="1"/>
    <n v="-5.4625975144604634E-3"/>
    <n v="-3.9959738809293502E-3"/>
    <s v="Normal"/>
  </r>
  <r>
    <d v="2017-09-15T00:00:00"/>
    <n v="986.78997800000002"/>
    <n v="192.01490799999999"/>
    <n v="3698.919922"/>
    <n v="182.35000600000001"/>
    <x v="4"/>
    <s v="Sep"/>
    <x v="1"/>
    <n v="-1.276865014938363E-2"/>
    <n v="5.6513804950654993E-2"/>
    <s v="High Volatility"/>
  </r>
  <r>
    <d v="2017-09-18T00:00:00"/>
    <n v="974.19000200000005"/>
    <n v="192.942047"/>
    <n v="3907.959961"/>
    <n v="184.61999499999999"/>
    <x v="4"/>
    <s v="Sep"/>
    <x v="1"/>
    <n v="-4.4447356173955045E-3"/>
    <n v="-6.6019225522970871E-3"/>
    <s v="Normal"/>
  </r>
  <r>
    <d v="2017-09-19T00:00:00"/>
    <n v="969.85998500000005"/>
    <n v="193.247803"/>
    <n v="3882.1599120000001"/>
    <n v="185.679993"/>
    <x v="4"/>
    <s v="Sep"/>
    <x v="1"/>
    <n v="3.454144981556208E-3"/>
    <n v="-6.8232607106474122E-2"/>
    <s v="High Volatility"/>
  </r>
  <r>
    <d v="2017-09-20T00:00:00"/>
    <n v="973.21002199999998"/>
    <n v="194.875214"/>
    <n v="3617.2700199999999"/>
    <n v="185.509995"/>
    <x v="4"/>
    <s v="Sep"/>
    <x v="1"/>
    <n v="-8.7956328094615024E-3"/>
    <n v="-4.5448478850356805E-3"/>
    <s v="Normal"/>
  </r>
  <r>
    <d v="2017-09-21T00:00:00"/>
    <n v="964.65002400000003"/>
    <n v="195.328903"/>
    <n v="3600.830078"/>
    <n v="188.779999"/>
    <x v="4"/>
    <s v="Sep"/>
    <x v="1"/>
    <n v="-9.9000132300831826E-3"/>
    <n v="5.1985219503601354E-2"/>
    <s v="High Volatility"/>
  </r>
  <r>
    <d v="2017-09-22T00:00:00"/>
    <n v="955.09997599999997"/>
    <n v="194.51028400000001"/>
    <n v="3788.0200199999999"/>
    <n v="187.35000600000001"/>
    <x v="4"/>
    <s v="Sep"/>
    <x v="1"/>
    <n v="-1.6029733415049263E-2"/>
    <n v="2.76344714249953E-2"/>
    <s v="Normal"/>
  </r>
  <r>
    <d v="2017-09-25T00:00:00"/>
    <n v="939.78997800000002"/>
    <n v="190.77217099999999"/>
    <n v="3892.6999510000001"/>
    <n v="178.550003"/>
    <x v="4"/>
    <s v="Sep"/>
    <x v="1"/>
    <n v="-1.2662424880636996E-3"/>
    <n v="8.2076771398197162E-2"/>
    <s v="High Volatility"/>
  </r>
  <r>
    <d v="2017-09-26T00:00:00"/>
    <n v="938.59997599999997"/>
    <n v="190.66366600000001"/>
    <n v="4212.2001950000003"/>
    <n v="179.38000500000001"/>
    <x v="4"/>
    <s v="Sep"/>
    <x v="1"/>
    <n v="1.3072681987795031E-2"/>
    <n v="-3.9291325753334086E-3"/>
    <s v="Normal"/>
  </r>
  <r>
    <d v="2017-09-27T00:00:00"/>
    <n v="950.86999500000002"/>
    <n v="194.14534"/>
    <n v="4195.6499020000001"/>
    <n v="181.970001"/>
    <x v="4"/>
    <s v="Sep"/>
    <x v="1"/>
    <n v="5.8157571792976951E-3"/>
    <n v="-5.4484677067795249E-3"/>
    <s v="Normal"/>
  </r>
  <r>
    <d v="2017-09-28T00:00:00"/>
    <n v="956.40002400000003"/>
    <n v="194.34257500000001"/>
    <n v="4172.7900390000004"/>
    <n v="180.699997"/>
    <x v="4"/>
    <s v="Sep"/>
    <x v="1"/>
    <n v="5.1756084021176681E-3"/>
    <n v="4.5013067095274459E-2"/>
    <s v="Normal"/>
  </r>
  <r>
    <d v="2017-09-29T00:00:00"/>
    <n v="961.34997599999997"/>
    <n v="195.83195499999999"/>
    <n v="4360.6201170000004"/>
    <n v="181.35000600000001"/>
    <x v="4"/>
    <s v="Sep"/>
    <x v="1"/>
    <n v="-2.2468133915051142E-3"/>
    <n v="-1.0649847900979295E-2"/>
    <s v="Normal"/>
  </r>
  <r>
    <d v="2017-10-02T00:00:00"/>
    <n v="959.19000200000005"/>
    <n v="197.25221300000001"/>
    <n v="4314.1801759999998"/>
    <n v="177.009995"/>
    <x v="4"/>
    <s v="Oct"/>
    <x v="2"/>
    <n v="-2.178948900261869E-3"/>
    <n v="-2.2140943609954583E-2"/>
    <s v="Normal"/>
  </r>
  <r>
    <d v="2017-10-03T00:00:00"/>
    <n v="957.09997599999997"/>
    <n v="200.033615"/>
    <n v="4218.6601559999999"/>
    <n v="179.19000199999999"/>
    <x v="4"/>
    <s v="Oct"/>
    <x v="2"/>
    <n v="8.7243090684186227E-3"/>
    <n v="2.4363134549679456E-2"/>
    <s v="Normal"/>
  </r>
  <r>
    <d v="2017-10-04T00:00:00"/>
    <n v="965.45001200000002"/>
    <n v="198.879639"/>
    <n v="4321.4399409999996"/>
    <n v="184.449997"/>
    <x v="4"/>
    <s v="Oct"/>
    <x v="2"/>
    <n v="1.5951073394362289E-2"/>
    <n v="1.1685919667858228E-2"/>
    <s v="Normal"/>
  </r>
  <r>
    <d v="2017-10-05T00:00:00"/>
    <n v="980.84997599999997"/>
    <n v="203.19967700000001"/>
    <n v="4371.9399409999996"/>
    <n v="194.38999899999999"/>
    <x v="4"/>
    <s v="Oct"/>
    <x v="2"/>
    <n v="8.9004855111502069E-3"/>
    <n v="1.4609102334875999E-2"/>
    <s v="Normal"/>
  </r>
  <r>
    <d v="2017-10-06T00:00:00"/>
    <n v="989.580017"/>
    <n v="202.578293"/>
    <n v="4435.8100590000004"/>
    <n v="198.020004"/>
    <x v="4"/>
    <s v="Oct"/>
    <x v="2"/>
    <n v="1.4248195959680908E-3"/>
    <n v="7.3842161779542351E-2"/>
    <s v="High Volatility"/>
  </r>
  <r>
    <d v="2017-10-09T00:00:00"/>
    <n v="990.98999000000003"/>
    <n v="202.982697"/>
    <n v="4763.3598629999997"/>
    <n v="196.86999499999999"/>
    <x v="4"/>
    <s v="Oct"/>
    <x v="2"/>
    <n v="-3.8244362084828114E-3"/>
    <n v="1.2772566791055541E-2"/>
    <s v="Normal"/>
  </r>
  <r>
    <d v="2017-10-10T00:00:00"/>
    <n v="987.20001200000002"/>
    <n v="206.57286099999999"/>
    <n v="4824.2001950000003"/>
    <n v="195.08000200000001"/>
    <x v="4"/>
    <s v="Oct"/>
    <x v="2"/>
    <n v="7.9011222702456627E-3"/>
    <n v="0.12611829886964299"/>
    <s v="High Volatility"/>
  </r>
  <r>
    <d v="2017-10-11T00:00:00"/>
    <n v="995"/>
    <n v="206.375595"/>
    <n v="5432.6201170000004"/>
    <n v="194.949997"/>
    <x v="4"/>
    <s v="Oct"/>
    <x v="2"/>
    <n v="5.9597919597989624E-3"/>
    <n v="3.7668683727697452E-2"/>
    <s v="Normal"/>
  </r>
  <r>
    <d v="2017-10-12T00:00:00"/>
    <n v="1000.929993"/>
    <n v="198.277985"/>
    <n v="5637.2597660000001"/>
    <n v="195.86000100000001"/>
    <x v="4"/>
    <s v="Oct"/>
    <x v="2"/>
    <n v="2.0081414425155326E-3"/>
    <n v="3.3252005900201304E-2"/>
    <s v="Normal"/>
  </r>
  <r>
    <d v="2017-10-13T00:00:00"/>
    <n v="1002.940002"/>
    <n v="190.338165"/>
    <n v="5824.7099609999996"/>
    <n v="199.490005"/>
    <x v="4"/>
    <s v="Oct"/>
    <x v="2"/>
    <n v="3.3900582220469794E-3"/>
    <n v="-3.8822513827139492E-2"/>
    <s v="Normal"/>
  </r>
  <r>
    <d v="2017-10-16T00:00:00"/>
    <n v="1006.340027"/>
    <n v="190.54531900000001"/>
    <n v="5598.580078"/>
    <n v="202.679993"/>
    <x v="4"/>
    <s v="Oct"/>
    <x v="2"/>
    <n v="2.7724009034175278E-3"/>
    <n v="-4.0635303385938284E-3"/>
    <s v="Normal"/>
  </r>
  <r>
    <d v="2017-10-17T00:00:00"/>
    <n v="1009.130005"/>
    <n v="189.63789399999999"/>
    <n v="5575.830078"/>
    <n v="199.479996"/>
    <x v="4"/>
    <s v="Oct"/>
    <x v="2"/>
    <n v="-1.2020259966405402E-2"/>
    <n v="2.2027182012701239E-2"/>
    <s v="Normal"/>
  </r>
  <r>
    <d v="2017-10-18T00:00:00"/>
    <n v="997"/>
    <n v="185.219223"/>
    <n v="5698.6499020000001"/>
    <n v="195.53999300000001"/>
    <x v="4"/>
    <s v="Oct"/>
    <x v="2"/>
    <n v="-1.0421278836509477E-2"/>
    <n v="5.167188124623269E-2"/>
    <s v="High Volatility"/>
  </r>
  <r>
    <d v="2017-10-19T00:00:00"/>
    <n v="986.60998500000005"/>
    <n v="183.57208299999999"/>
    <n v="5993.1098629999997"/>
    <n v="195.13000500000001"/>
    <x v="4"/>
    <s v="Oct"/>
    <x v="2"/>
    <n v="-3.7502276038692381E-3"/>
    <n v="2.2592676105594755E-3"/>
    <s v="Normal"/>
  </r>
  <r>
    <d v="2017-10-20T00:00:00"/>
    <n v="982.90997300000004"/>
    <n v="183.56222500000001"/>
    <n v="6006.6499020000001"/>
    <n v="194.16000399999999"/>
    <x v="4"/>
    <s v="Oct"/>
    <x v="2"/>
    <n v="-1.6898785703947733E-2"/>
    <n v="-8.2170566297805878E-2"/>
    <s v="High Volatility"/>
  </r>
  <r>
    <d v="2017-10-23T00:00:00"/>
    <n v="966.29998799999998"/>
    <n v="180.12988300000001"/>
    <n v="5513.080078"/>
    <n v="192.470001"/>
    <x v="4"/>
    <s v="Oct"/>
    <x v="2"/>
    <n v="9.9348402351424284E-3"/>
    <n v="4.0071959571489478E-2"/>
    <s v="Normal"/>
  </r>
  <r>
    <d v="2017-10-24T00:00:00"/>
    <n v="975.90002400000003"/>
    <n v="181.323318"/>
    <n v="5734"/>
    <n v="196.020004"/>
    <x v="4"/>
    <s v="Oct"/>
    <x v="2"/>
    <n v="-3.063890692147369E-3"/>
    <n v="2.6789302929891817E-2"/>
    <s v="Normal"/>
  </r>
  <r>
    <d v="2017-10-25T00:00:00"/>
    <n v="972.90997300000004"/>
    <n v="183.20716899999999"/>
    <n v="5887.6098629999997"/>
    <n v="193.770004"/>
    <x v="4"/>
    <s v="Oct"/>
    <x v="2"/>
    <n v="-4.9334472183488315E-4"/>
    <n v="-2.0899789025304056E-2"/>
    <s v="Normal"/>
  </r>
  <r>
    <d v="2017-10-26T00:00:00"/>
    <n v="972.42999299999997"/>
    <n v="183.13810699999999"/>
    <n v="5764.5600590000004"/>
    <n v="195.21000699999999"/>
    <x v="4"/>
    <s v="Oct"/>
    <x v="2"/>
    <n v="0.13216371247816922"/>
    <n v="-6.5833637973379102E-3"/>
    <s v="Normal"/>
  </r>
  <r>
    <d v="2017-10-27T00:00:00"/>
    <n v="1100.9499510000001"/>
    <n v="182.151794"/>
    <n v="5726.6098629999997"/>
    <n v="199.53999300000001"/>
    <x v="4"/>
    <s v="Oct"/>
    <x v="2"/>
    <n v="8.9922570876247894E-3"/>
    <n v="6.9442467972084393E-2"/>
    <s v="High Volatility"/>
  </r>
  <r>
    <d v="2017-10-30T00:00:00"/>
    <n v="1110.849976"/>
    <n v="179.21258499999999"/>
    <n v="6124.2797849999997"/>
    <n v="198.36999499999999"/>
    <x v="4"/>
    <s v="Oct"/>
    <x v="2"/>
    <n v="-5.0141307290265062E-3"/>
    <n v="5.3387575433900616E-2"/>
    <s v="High Volatility"/>
  </r>
  <r>
    <d v="2017-10-31T00:00:00"/>
    <n v="1105.280029"/>
    <n v="180.49478099999999"/>
    <n v="6451.2402339999999"/>
    <n v="196.429993"/>
    <x v="4"/>
    <s v="Oct"/>
    <x v="2"/>
    <n v="-1.4475743323143729E-3"/>
    <n v="4.4416196050156245E-2"/>
    <s v="Normal"/>
  </r>
  <r>
    <d v="2017-11-01T00:00:00"/>
    <n v="1103.6800539999999"/>
    <n v="174.82350199999999"/>
    <n v="6737.7797849999997"/>
    <n v="198"/>
    <x v="4"/>
    <s v="Nov"/>
    <x v="2"/>
    <n v="-8.5713998053279505E-3"/>
    <n v="4.2600126919998565E-2"/>
    <s v="Normal"/>
  </r>
  <r>
    <d v="2017-11-02T00:00:00"/>
    <n v="1094.219971"/>
    <n v="175.652008"/>
    <n v="7024.8100590000004"/>
    <n v="199.320007"/>
    <x v="4"/>
    <s v="Nov"/>
    <x v="2"/>
    <n v="1.5883465354883369E-2"/>
    <n v="1.8122918190064622E-2"/>
    <s v="Normal"/>
  </r>
  <r>
    <d v="2017-11-03T00:00:00"/>
    <n v="1111.599976"/>
    <n v="175.50408899999999"/>
    <n v="7152.1201170000004"/>
    <n v="200.009995"/>
    <x v="4"/>
    <s v="Nov"/>
    <x v="2"/>
    <n v="8.1504661709348811E-3"/>
    <n v="-2.6969644503245457E-2"/>
    <s v="Normal"/>
  </r>
  <r>
    <d v="2017-11-06T00:00:00"/>
    <n v="1120.660034"/>
    <n v="171.08540300000001"/>
    <n v="6959.2299800000001"/>
    <n v="200.13000500000001"/>
    <x v="4"/>
    <s v="Nov"/>
    <x v="2"/>
    <n v="2.2397604303250863E-3"/>
    <n v="2.0622974152666229E-2"/>
    <s v="Normal"/>
  </r>
  <r>
    <d v="2017-11-07T00:00:00"/>
    <n v="1123.170044"/>
    <n v="167.77140800000001"/>
    <n v="7102.75"/>
    <n v="195.88999899999999"/>
    <x v="4"/>
    <s v="Nov"/>
    <x v="2"/>
    <n v="8.6451388655447627E-3"/>
    <n v="4.8095436697053913E-2"/>
    <s v="Normal"/>
  </r>
  <r>
    <d v="2017-11-08T00:00:00"/>
    <n v="1132.880005"/>
    <n v="166.40043600000001"/>
    <n v="7444.3598629999997"/>
    <n v="196.44000199999999"/>
    <x v="4"/>
    <s v="Nov"/>
    <x v="2"/>
    <n v="-3.3101475738377076E-3"/>
    <n v="-4.2283020272095032E-2"/>
    <s v="Normal"/>
  </r>
  <r>
    <d v="2017-11-09T00:00:00"/>
    <n v="1129.130005"/>
    <n v="170.83883700000001"/>
    <n v="7129.5898440000001"/>
    <n v="193.89999399999999"/>
    <x v="4"/>
    <s v="Nov"/>
    <x v="2"/>
    <n v="-3.3477358526133693E-3"/>
    <n v="-7.9077485709008258E-2"/>
    <s v="High Volatility"/>
  </r>
  <r>
    <d v="2017-11-10T00:00:00"/>
    <n v="1125.349976"/>
    <n v="170.957199"/>
    <n v="6565.7998049999997"/>
    <n v="192.020004"/>
    <x v="4"/>
    <s v="Nov"/>
    <x v="2"/>
    <n v="3.3945599870879566E-3"/>
    <n v="-6.6023350220010711E-3"/>
    <s v="Normal"/>
  </r>
  <r>
    <d v="2017-11-13T00:00:00"/>
    <n v="1129.170044"/>
    <n v="170.66127"/>
    <n v="6522.4501950000003"/>
    <n v="195.08000200000001"/>
    <x v="4"/>
    <s v="Nov"/>
    <x v="2"/>
    <n v="6.7925305322747674E-3"/>
    <n v="1.1438931961058848E-2"/>
    <s v="Normal"/>
  </r>
  <r>
    <d v="2017-11-14T00:00:00"/>
    <n v="1136.839966"/>
    <n v="173.25528"/>
    <n v="6597.0600590000004"/>
    <n v="195.71000699999999"/>
    <x v="4"/>
    <s v="Nov"/>
    <x v="2"/>
    <n v="-8.9282795323540852E-3"/>
    <n v="0.1040099907933853"/>
    <s v="High Volatility"/>
  </r>
  <r>
    <d v="2017-11-15T00:00:00"/>
    <n v="1126.6899410000001"/>
    <n v="173.35391200000001"/>
    <n v="7283.2202150000003"/>
    <n v="192.11999499999999"/>
    <x v="4"/>
    <s v="Nov"/>
    <x v="2"/>
    <n v="9.4081766546985513E-3"/>
    <n v="7.8325238584042944E-2"/>
    <s v="High Volatility"/>
  </r>
  <r>
    <d v="2017-11-16T00:00:00"/>
    <n v="1137.290039"/>
    <n v="175.040527"/>
    <n v="7853.6801759999998"/>
    <n v="195.509995"/>
    <x v="4"/>
    <s v="Nov"/>
    <x v="2"/>
    <n v="-6.5155182459133414E-3"/>
    <n v="-1.9574260417400464E-2"/>
    <s v="Normal"/>
  </r>
  <r>
    <d v="2017-11-17T00:00:00"/>
    <n v="1129.880005"/>
    <n v="176.20436100000001"/>
    <n v="7699.9501950000003"/>
    <n v="193.199997"/>
    <x v="4"/>
    <s v="Nov"/>
    <x v="2"/>
    <n v="-3.1595797644016835E-3"/>
    <n v="7.0745942662555128E-2"/>
    <s v="High Volatility"/>
  </r>
  <r>
    <d v="2017-11-20T00:00:00"/>
    <n v="1126.3100589999999"/>
    <n v="175.33637999999999"/>
    <n v="8244.6904300000006"/>
    <n v="194.10000600000001"/>
    <x v="4"/>
    <s v="Nov"/>
    <x v="2"/>
    <n v="1.1701867434001249E-2"/>
    <n v="-1.7553141167484718E-2"/>
    <s v="Normal"/>
  </r>
  <r>
    <d v="2017-11-21T00:00:00"/>
    <n v="1139.48999"/>
    <n v="174.45858799999999"/>
    <n v="8099.9702150000003"/>
    <n v="196.229996"/>
    <x v="4"/>
    <s v="Nov"/>
    <x v="2"/>
    <n v="1.4629390469678422E-2"/>
    <n v="1.6614825292910078E-2"/>
    <s v="Normal"/>
  </r>
  <r>
    <d v="2017-11-22T00:00:00"/>
    <n v="1156.160034"/>
    <n v="174.13310200000001"/>
    <n v="8234.5498050000006"/>
    <n v="196.320007"/>
    <x v="4"/>
    <s v="Nov"/>
    <x v="2"/>
    <n v="2.5809546362506423E-2"/>
    <n v="-4.0985847191678986E-3"/>
    <s v="Normal"/>
  </r>
  <r>
    <d v="2017-11-24T00:00:00"/>
    <n v="1186"/>
    <n v="174.91227699999999"/>
    <n v="8200.7998050000006"/>
    <n v="195.75"/>
    <x v="4"/>
    <s v="Nov"/>
    <x v="2"/>
    <n v="8.2883271500843493E-3"/>
    <n v="0.18685987055380859"/>
    <s v="High Volatility"/>
  </r>
  <r>
    <d v="2017-11-27T00:00:00"/>
    <n v="1195.829956"/>
    <n v="172.13088999999999"/>
    <n v="9733.2001949999994"/>
    <n v="195.050003"/>
    <x v="4"/>
    <s v="Nov"/>
    <x v="2"/>
    <n v="-1.8647969042850008E-3"/>
    <n v="1.7757761120416375E-2"/>
    <s v="Normal"/>
  </r>
  <r>
    <d v="2017-11-28T00:00:00"/>
    <n v="1193.599976"/>
    <n v="169.93141199999999"/>
    <n v="9906.0400389999995"/>
    <n v="199.179993"/>
    <x v="4"/>
    <s v="Nov"/>
    <x v="2"/>
    <n v="-2.7086089686717652E-2"/>
    <n v="-6.8826379392347451E-3"/>
    <s v="Normal"/>
  </r>
  <r>
    <d v="2017-11-29T00:00:00"/>
    <n v="1161.2700199999999"/>
    <n v="176.71722399999999"/>
    <n v="9837.8603519999997"/>
    <n v="188.14999399999999"/>
    <x v="4"/>
    <s v="Nov"/>
    <x v="2"/>
    <n v="1.333021582697887E-2"/>
    <n v="1.1069420595898242E-2"/>
    <s v="Normal"/>
  </r>
  <r>
    <d v="2017-11-30T00:00:00"/>
    <n v="1176.75"/>
    <n v="183.611557"/>
    <n v="9946.7597659999992"/>
    <n v="187.58000200000001"/>
    <x v="4"/>
    <s v="Nov"/>
    <x v="2"/>
    <n v="-1.2237114085404743E-2"/>
    <n v="9.1960596769076683E-2"/>
    <s v="High Volatility"/>
  </r>
  <r>
    <d v="2017-12-01T00:00:00"/>
    <n v="1162.349976"/>
    <n v="182.09262100000001"/>
    <n v="10861.469730000001"/>
    <n v="186.820007"/>
    <x v="4"/>
    <s v="Dec"/>
    <x v="2"/>
    <n v="-2.4433282218263595E-2"/>
    <n v="7.0196801073255738E-2"/>
    <s v="High Volatility"/>
  </r>
  <r>
    <d v="2017-12-04T00:00:00"/>
    <n v="1133.9499510000001"/>
    <n v="185.05154400000001"/>
    <n v="11623.910159999999"/>
    <n v="184.03999300000001"/>
    <x v="4"/>
    <s v="Dec"/>
    <x v="2"/>
    <n v="6.7198688912858528E-3"/>
    <n v="3.7181739539529409E-3"/>
    <s v="Normal"/>
  </r>
  <r>
    <d v="2017-12-05T00:00:00"/>
    <n v="1141.5699460000001"/>
    <n v="182.96057099999999"/>
    <n v="11667.12988"/>
    <n v="184.21000699999999"/>
    <x v="4"/>
    <s v="Dec"/>
    <x v="2"/>
    <n v="9.4431620574565271E-3"/>
    <n v="0.17848780732009806"/>
    <s v="High Volatility"/>
  </r>
  <r>
    <d v="2017-12-06T00:00:00"/>
    <n v="1152.349976"/>
    <n v="178.68985000000001"/>
    <n v="13749.570309999999"/>
    <n v="185.300003"/>
    <x v="4"/>
    <s v="Dec"/>
    <x v="2"/>
    <n v="6.4564265674094219E-3"/>
    <n v="0.22551542848905212"/>
    <s v="High Volatility"/>
  </r>
  <r>
    <d v="2017-12-07T00:00:00"/>
    <n v="1159.790039"/>
    <n v="177.05256700000001"/>
    <n v="16850.310549999998"/>
    <n v="185.199997"/>
    <x v="4"/>
    <s v="Dec"/>
    <x v="2"/>
    <n v="1.905483687293525E-3"/>
    <n v="-4.7637116100509941E-2"/>
    <s v="Normal"/>
  </r>
  <r>
    <d v="2017-12-08T00:00:00"/>
    <n v="1162"/>
    <n v="181.39233400000001"/>
    <n v="16047.610350000001"/>
    <n v="188.53999300000001"/>
    <x v="4"/>
    <s v="Dec"/>
    <x v="2"/>
    <n v="5.9552874354560775E-3"/>
    <n v="4.2676780845442248E-2"/>
    <s v="Normal"/>
  </r>
  <r>
    <d v="2017-12-11T00:00:00"/>
    <n v="1168.920044"/>
    <n v="178.482742"/>
    <n v="16732.470700000002"/>
    <n v="186.220001"/>
    <x v="4"/>
    <s v="Dec"/>
    <x v="2"/>
    <n v="-3.2851588264833651E-3"/>
    <n v="2.1002857037723494E-2"/>
    <s v="Normal"/>
  </r>
  <r>
    <d v="2017-12-12T00:00:00"/>
    <n v="1165.079956"/>
    <n v="178.13751199999999"/>
    <n v="17083.900389999999"/>
    <n v="185.729996"/>
    <x v="4"/>
    <s v="Dec"/>
    <x v="2"/>
    <n v="-8.1535262460566741E-4"/>
    <n v="-4.6656797441090664E-2"/>
    <s v="Normal"/>
  </r>
  <r>
    <d v="2017-12-13T00:00:00"/>
    <n v="1164.130005"/>
    <n v="178.038895"/>
    <n v="16286.820309999999"/>
    <n v="187.86000100000001"/>
    <x v="4"/>
    <s v="Dec"/>
    <x v="2"/>
    <n v="8.7017815505923517E-3"/>
    <n v="1.1118797073533889E-2"/>
    <s v="Normal"/>
  </r>
  <r>
    <d v="2017-12-14T00:00:00"/>
    <n v="1174.26001"/>
    <n v="180.481323"/>
    <n v="16467.910159999999"/>
    <n v="189.55999800000001"/>
    <x v="4"/>
    <s v="Dec"/>
    <x v="2"/>
    <n v="4.1558129872786721E-3"/>
    <n v="6.9039692283577633E-2"/>
    <s v="High Volatility"/>
  </r>
  <r>
    <d v="2017-12-15T00:00:00"/>
    <n v="1179.1400149999999"/>
    <n v="182.97314499999999"/>
    <n v="17604.849610000001"/>
    <n v="190.11999499999999"/>
    <x v="4"/>
    <s v="Dec"/>
    <x v="2"/>
    <n v="9.7019360334405155E-3"/>
    <n v="7.7675795607094533E-2"/>
    <s v="High Volatility"/>
  </r>
  <r>
    <d v="2017-12-18T00:00:00"/>
    <n v="1190.579956"/>
    <n v="183.92243999999999"/>
    <n v="18972.320309999999"/>
    <n v="190.41999799999999"/>
    <x v="4"/>
    <s v="Dec"/>
    <x v="2"/>
    <n v="-2.6877245697558639E-3"/>
    <n v="-7.6354450395635376E-2"/>
    <s v="High Volatility"/>
  </r>
  <r>
    <d v="2017-12-19T00:00:00"/>
    <n v="1187.380005"/>
    <n v="184.97058100000001"/>
    <n v="17523.699219999999"/>
    <n v="187.020004"/>
    <x v="4"/>
    <s v="Dec"/>
    <x v="2"/>
    <n v="-8.2197863859093407E-3"/>
    <n v="-6.0588150177117515E-2"/>
    <s v="High Volatility"/>
  </r>
  <r>
    <d v="2017-12-20T00:00:00"/>
    <n v="1177.619995"/>
    <n v="181.56899999999999"/>
    <n v="16461.970700000002"/>
    <n v="188.820007"/>
    <x v="4"/>
    <s v="Dec"/>
    <x v="2"/>
    <n v="-2.4286145039512951E-3"/>
    <n v="-5.0410160188172487E-2"/>
    <s v="High Volatility"/>
  </r>
  <r>
    <d v="2017-12-21T00:00:00"/>
    <n v="1174.76001"/>
    <n v="186.28573600000001"/>
    <n v="15632.12012"/>
    <n v="188.61999499999999"/>
    <x v="4"/>
    <s v="Dec"/>
    <x v="2"/>
    <n v="-5.4479425121050163E-3"/>
    <n v="-0.12584028109425754"/>
    <s v="High Volatility"/>
  </r>
  <r>
    <d v="2017-12-22T00:00:00"/>
    <n v="1168.3599850000001"/>
    <n v="190.715698"/>
    <n v="13664.969730000001"/>
    <n v="189.94000199999999"/>
    <x v="4"/>
    <s v="Dec"/>
    <x v="2"/>
    <n v="7.1895863499638031E-3"/>
    <n v="0.15306216415599763"/>
    <s v="High Volatility"/>
  </r>
  <r>
    <d v="2017-12-26T00:00:00"/>
    <n v="1176.76001"/>
    <n v="188.243607"/>
    <n v="15756.559569999999"/>
    <n v="187.759995"/>
    <x v="4"/>
    <s v="Dec"/>
    <x v="2"/>
    <n v="4.6738501931247647E-3"/>
    <n v="-2.1573232309367665E-2"/>
    <s v="Normal"/>
  </r>
  <r>
    <d v="2017-12-27T00:00:00"/>
    <n v="1182.26001"/>
    <n v="188.44137599999999"/>
    <n v="15416.639649999999"/>
    <n v="186.240005"/>
    <x v="4"/>
    <s v="Dec"/>
    <x v="2"/>
    <n v="3.2479877247983749E-3"/>
    <n v="-6.6028620575561026E-2"/>
    <s v="High Volatility"/>
  </r>
  <r>
    <d v="2017-12-28T00:00:00"/>
    <n v="1186.099976"/>
    <n v="187.85797099999999"/>
    <n v="14398.700199999999"/>
    <n v="192.71000699999999"/>
    <x v="4"/>
    <s v="Dec"/>
    <x v="2"/>
    <n v="-1.4020744740323629E-2"/>
    <n v="-4.2572523317071077E-4"/>
    <s v="Normal"/>
  </r>
  <r>
    <d v="2017-12-29T00:00:00"/>
    <n v="1169.469971"/>
    <n v="186.84938"/>
    <n v="14392.570309999999"/>
    <n v="191.96000699999999"/>
    <x v="4"/>
    <s v="Dec"/>
    <x v="2"/>
    <n v="1.670845723665014E-2"/>
    <n v="2.5121264806244416E-2"/>
    <s v="Normal"/>
  </r>
  <r>
    <d v="2018-01-02T00:00:00"/>
    <n v="1189.01001"/>
    <n v="184.851913"/>
    <n v="14754.12988"/>
    <n v="201.070007"/>
    <x v="5"/>
    <s v="Jan"/>
    <x v="3"/>
    <n v="1.2775284372921377E-2"/>
    <n v="2.7279835766228132E-2"/>
    <s v="Normal"/>
  </r>
  <r>
    <d v="2018-01-03T00:00:00"/>
    <n v="1204.1999510000001"/>
    <n v="189.51921100000001"/>
    <n v="15156.62012"/>
    <n v="205.050003"/>
    <x v="5"/>
    <s v="Jan"/>
    <x v="3"/>
    <n v="4.4760133028770967E-3"/>
    <n v="1.5478358508862686E-3"/>
    <s v="Normal"/>
  </r>
  <r>
    <d v="2018-01-04T00:00:00"/>
    <n v="1209.589966"/>
    <n v="195.08633399999999"/>
    <n v="15180.08008"/>
    <n v="205.63000500000001"/>
    <x v="5"/>
    <s v="Jan"/>
    <x v="3"/>
    <n v="1.6162542307332554E-2"/>
    <n v="0.11690974030750954"/>
    <s v="High Volatility"/>
  </r>
  <r>
    <d v="2018-01-05T00:00:00"/>
    <n v="1229.1400149999999"/>
    <n v="198.06269800000001"/>
    <n v="16954.779299999998"/>
    <n v="209.990005"/>
    <x v="5"/>
    <s v="Jan"/>
    <x v="3"/>
    <n v="1.4424703275159477E-2"/>
    <n v="-0.11669921176738633"/>
    <s v="High Volatility"/>
  </r>
  <r>
    <d v="2018-01-08T00:00:00"/>
    <n v="1246.869995"/>
    <n v="201.335724"/>
    <n v="14976.16992"/>
    <n v="212.050003"/>
    <x v="5"/>
    <s v="Jan"/>
    <x v="3"/>
    <n v="4.6756727031514126E-3"/>
    <n v="-3.3898514954883753E-2"/>
    <s v="Normal"/>
  </r>
  <r>
    <d v="2018-01-09T00:00:00"/>
    <n v="1252.6999510000001"/>
    <n v="204.40110799999999"/>
    <n v="14468.5"/>
    <n v="209.30999800000001"/>
    <x v="5"/>
    <s v="Jan"/>
    <x v="3"/>
    <n v="1.3011934731048638E-3"/>
    <n v="3.1170489684486949E-2"/>
    <s v="Normal"/>
  </r>
  <r>
    <d v="2018-01-10T00:00:00"/>
    <n v="1254.329956"/>
    <n v="197.85505699999999"/>
    <n v="14919.490229999999"/>
    <n v="212.520004"/>
    <x v="5"/>
    <s v="Jan"/>
    <x v="3"/>
    <n v="1.7818356241186582E-2"/>
    <n v="-0.10800842623695998"/>
    <s v="High Volatility"/>
  </r>
  <r>
    <d v="2018-01-11T00:00:00"/>
    <n v="1276.6800539999999"/>
    <n v="207.50604200000001"/>
    <n v="13308.059569999999"/>
    <n v="217.240005"/>
    <x v="5"/>
    <s v="Jan"/>
    <x v="3"/>
    <n v="2.2339110657085687E-2"/>
    <n v="4.0060750945376263E-2"/>
    <s v="Normal"/>
  </r>
  <r>
    <d v="2018-01-12T00:00:00"/>
    <n v="1305.1999510000001"/>
    <n v="208.791504"/>
    <n v="13841.190430000001"/>
    <n v="221.229996"/>
    <x v="5"/>
    <s v="Jan"/>
    <x v="3"/>
    <n v="-2.6047043576697465E-4"/>
    <n v="-0.18486128147288275"/>
    <s v="High Volatility"/>
  </r>
  <r>
    <d v="2018-01-16T00:00:00"/>
    <n v="1304.8599850000001"/>
    <n v="206.95228599999999"/>
    <n v="11282.490229999999"/>
    <n v="221.529999"/>
    <x v="5"/>
    <s v="Jan"/>
    <x v="3"/>
    <n v="-7.5563547915832906E-3"/>
    <n v="-1.0617339572914492E-2"/>
    <s v="Normal"/>
  </r>
  <r>
    <d v="2018-01-17T00:00:00"/>
    <n v="1295"/>
    <n v="205.56791699999999"/>
    <n v="11162.700199999999"/>
    <n v="217.5"/>
    <x v="5"/>
    <s v="Jan"/>
    <x v="3"/>
    <n v="-1.2973389961389401E-3"/>
    <n v="1.1484076227363219E-3"/>
    <s v="Normal"/>
  </r>
  <r>
    <d v="2018-01-18T00:00:00"/>
    <n v="1293.3199460000001"/>
    <n v="208.55418399999999"/>
    <n v="11175.51953"/>
    <n v="220.33000200000001"/>
    <x v="5"/>
    <s v="Jan"/>
    <x v="3"/>
    <n v="9.7424462051864588E-4"/>
    <n v="3.0982026300481174E-2"/>
    <s v="Normal"/>
  </r>
  <r>
    <d v="2018-01-19T00:00:00"/>
    <n v="1294.579956"/>
    <n v="211.15479999999999"/>
    <n v="11521.759770000001"/>
    <n v="220.46000699999999"/>
    <x v="5"/>
    <s v="Jan"/>
    <x v="3"/>
    <n v="2.5282411370812132E-2"/>
    <n v="-6.138300521084384E-2"/>
    <s v="High Volatility"/>
  </r>
  <r>
    <d v="2018-01-22T00:00:00"/>
    <n v="1327.3100589999999"/>
    <n v="213.87406899999999"/>
    <n v="10814.51953"/>
    <n v="227.58000200000001"/>
    <x v="5"/>
    <s v="Jan"/>
    <x v="3"/>
    <n v="2.6542389068114545E-2"/>
    <n v="4.0418753582851822E-3"/>
    <s v="Normal"/>
  </r>
  <r>
    <d v="2018-01-23T00:00:00"/>
    <n v="1362.540039"/>
    <n v="217.11747700000001"/>
    <n v="10858.23047"/>
    <n v="250.28999300000001"/>
    <x v="5"/>
    <s v="Jan"/>
    <x v="3"/>
    <n v="-3.6916559191109491E-3"/>
    <n v="5.2567410645502639E-2"/>
    <s v="High Volatility"/>
  </r>
  <r>
    <d v="2018-01-24T00:00:00"/>
    <n v="1357.51001"/>
    <n v="216.276962"/>
    <n v="11429.01953"/>
    <n v="261.29998799999998"/>
    <x v="5"/>
    <s v="Jan"/>
    <x v="3"/>
    <n v="1.5056935749593544E-2"/>
    <n v="-2.2149704909988896E-2"/>
    <s v="Normal"/>
  </r>
  <r>
    <d v="2018-01-25T00:00:00"/>
    <n v="1377.9499510000001"/>
    <n v="216.88014200000001"/>
    <n v="11175.87012"/>
    <n v="269.70001200000002"/>
    <x v="5"/>
    <s v="Jan"/>
    <x v="3"/>
    <n v="1.7489821007294255E-2"/>
    <n v="-6.412916330491525E-3"/>
    <s v="Normal"/>
  </r>
  <r>
    <d v="2018-01-26T00:00:00"/>
    <n v="1402.0500489999999"/>
    <n v="214.35862700000001"/>
    <n v="11104.200199999999"/>
    <n v="274.60000600000001"/>
    <x v="5"/>
    <s v="Jan"/>
    <x v="3"/>
    <n v="1.1147965089511568E-2"/>
    <n v="1.1684767715193032E-2"/>
    <s v="Normal"/>
  </r>
  <r>
    <d v="2018-01-29T00:00:00"/>
    <n v="1417.6800539999999"/>
    <n v="212.924835"/>
    <n v="11233.950199999999"/>
    <n v="284.58999599999999"/>
    <x v="5"/>
    <s v="Jan"/>
    <x v="3"/>
    <n v="1.4206232177122911E-2"/>
    <n v="-0.1002933438319852"/>
    <s v="High Volatility"/>
  </r>
  <r>
    <d v="2018-01-30T00:00:00"/>
    <n v="1437.8199460000001"/>
    <n v="213.53788800000001"/>
    <n v="10107.259770000001"/>
    <n v="278.79998799999998"/>
    <x v="5"/>
    <s v="Jan"/>
    <x v="3"/>
    <n v="9.0901986972434685E-3"/>
    <n v="1.1833136054837963E-2"/>
    <s v="Normal"/>
  </r>
  <r>
    <d v="2018-01-31T00:00:00"/>
    <n v="1450.8900149999999"/>
    <n v="214.42785599999999"/>
    <n v="10226.860350000001"/>
    <n v="270.29998799999998"/>
    <x v="5"/>
    <s v="Jan"/>
    <x v="3"/>
    <n v="-4.1967354086450137E-2"/>
    <n v="-0.10874702351831772"/>
    <s v="High Volatility"/>
  </r>
  <r>
    <d v="2018-02-01T00:00:00"/>
    <n v="1390"/>
    <n v="216.22752399999999"/>
    <n v="9114.7197269999997"/>
    <n v="265.07000699999998"/>
    <x v="5"/>
    <s v="Feb"/>
    <x v="3"/>
    <n v="2.8740971942446084E-2"/>
    <n v="-2.6758849564788106E-2"/>
    <s v="Normal"/>
  </r>
  <r>
    <d v="2018-02-02T00:00:00"/>
    <n v="1429.9499510000001"/>
    <n v="211.985443"/>
    <n v="8870.8203130000002"/>
    <n v="267.42999300000002"/>
    <x v="5"/>
    <s v="Feb"/>
    <x v="3"/>
    <n v="-2.7938006482018513E-2"/>
    <n v="-0.21798888566890987"/>
    <s v="High Volatility"/>
  </r>
  <r>
    <d v="2018-02-05T00:00:00"/>
    <n v="1390"/>
    <n v="205.69645700000001"/>
    <n v="6937.080078"/>
    <n v="254.259995"/>
    <x v="5"/>
    <s v="Feb"/>
    <x v="3"/>
    <n v="3.8014364028776983E-2"/>
    <n v="0.11015728713056959"/>
    <s v="High Volatility"/>
  </r>
  <r>
    <d v="2018-02-06T00:00:00"/>
    <n v="1442.839966"/>
    <n v="206.13154599999999"/>
    <n v="7701.25"/>
    <n v="265.72000100000002"/>
    <x v="5"/>
    <s v="Feb"/>
    <x v="3"/>
    <n v="-1.8061557493618798E-2"/>
    <n v="-1.4092489530920269E-2"/>
    <s v="Normal"/>
  </r>
  <r>
    <d v="2018-02-07T00:00:00"/>
    <n v="1416.780029"/>
    <n v="208.949738"/>
    <n v="7592.7202150000003"/>
    <n v="264.55999800000001"/>
    <x v="5"/>
    <s v="Feb"/>
    <x v="3"/>
    <n v="-4.6782159293127651E-2"/>
    <n v="8.7975086146381901E-2"/>
    <s v="High Volatility"/>
  </r>
  <r>
    <d v="2018-02-08T00:00:00"/>
    <n v="1350.5"/>
    <n v="196.35202000000001"/>
    <n v="8260.6904300000006"/>
    <n v="250.10000600000001"/>
    <x v="5"/>
    <s v="Feb"/>
    <x v="3"/>
    <n v="-8.0711025546094262E-3"/>
    <n v="5.2796997018081E-2"/>
    <s v="High Volatility"/>
  </r>
  <r>
    <d v="2018-02-09T00:00:00"/>
    <n v="1339.599976"/>
    <n v="203.78804"/>
    <n v="8696.8300780000009"/>
    <n v="249.470001"/>
    <x v="5"/>
    <s v="Feb"/>
    <x v="3"/>
    <n v="3.4808901788155974E-2"/>
    <n v="2.4657197056483528E-2"/>
    <s v="Normal"/>
  </r>
  <r>
    <d v="2018-02-12T00:00:00"/>
    <n v="1386.2299800000001"/>
    <n v="209.50346400000001"/>
    <n v="8911.2695309999999"/>
    <n v="257.95001200000002"/>
    <x v="5"/>
    <s v="Feb"/>
    <x v="3"/>
    <n v="2.0400676949722221E-2"/>
    <n v="-4.1136574281000655E-2"/>
    <s v="Normal"/>
  </r>
  <r>
    <d v="2018-02-13T00:00:00"/>
    <n v="1414.51001"/>
    <n v="205.67669699999999"/>
    <n v="8544.6904300000006"/>
    <n v="258.26998900000001"/>
    <x v="5"/>
    <s v="Feb"/>
    <x v="3"/>
    <n v="2.5832294392883072E-2"/>
    <n v="0.11012092546926826"/>
    <s v="High Volatility"/>
  </r>
  <r>
    <d v="2018-02-14T00:00:00"/>
    <n v="1451.0500489999999"/>
    <n v="207.436813"/>
    <n v="9485.6396480000003"/>
    <n v="266"/>
    <x v="5"/>
    <s v="Feb"/>
    <x v="3"/>
    <n v="7.3808350079867038E-3"/>
    <n v="5.778317249438903E-2"/>
    <s v="High Volatility"/>
  </r>
  <r>
    <d v="2018-02-15T00:00:00"/>
    <n v="1461.76001"/>
    <n v="215.26834099999999"/>
    <n v="10033.75"/>
    <n v="280.26998900000001"/>
    <x v="5"/>
    <s v="Feb"/>
    <x v="3"/>
    <n v="-8.9413234119052661E-3"/>
    <n v="1.5445917030023713E-2"/>
    <s v="Normal"/>
  </r>
  <r>
    <d v="2018-02-16T00:00:00"/>
    <n v="1448.6899410000001"/>
    <n v="218.27441400000001"/>
    <n v="10188.73047"/>
    <n v="278.51998900000001"/>
    <x v="5"/>
    <s v="Feb"/>
    <x v="3"/>
    <n v="1.3570905991401426E-2"/>
    <n v="0.10479217436792206"/>
    <s v="High Volatility"/>
  </r>
  <r>
    <d v="2018-02-20T00:00:00"/>
    <n v="1468.349976"/>
    <n v="219.016006"/>
    <n v="11256.429690000001"/>
    <n v="278.54998799999998"/>
    <x v="5"/>
    <s v="Feb"/>
    <x v="3"/>
    <n v="9.9227488256518979E-3"/>
    <n v="-6.8829064928846134E-2"/>
    <s v="High Volatility"/>
  </r>
  <r>
    <d v="2018-02-21T00:00:00"/>
    <n v="1482.920044"/>
    <n v="227.95503199999999"/>
    <n v="10481.660159999999"/>
    <n v="281.040009"/>
    <x v="5"/>
    <s v="Feb"/>
    <x v="3"/>
    <n v="1.6318627627910345E-3"/>
    <n v="-6.0457998955005143E-2"/>
    <s v="High Volatility"/>
  </r>
  <r>
    <d v="2018-02-22T00:00:00"/>
    <n v="1485.339966"/>
    <n v="224.46447800000001"/>
    <n v="9847.9599610000005"/>
    <n v="278.14001500000001"/>
    <x v="5"/>
    <s v="Feb"/>
    <x v="3"/>
    <n v="9.8698172375171894E-3"/>
    <n v="3.3260676352987469E-2"/>
    <s v="Normal"/>
  </r>
  <r>
    <d v="2018-02-23T00:00:00"/>
    <n v="1500"/>
    <n v="226.29379299999999"/>
    <n v="10175.509770000001"/>
    <n v="285.92999300000002"/>
    <x v="5"/>
    <s v="Feb"/>
    <x v="3"/>
    <n v="1.4633300666666703E-2"/>
    <n v="1.4838591226668285E-2"/>
    <s v="Normal"/>
  </r>
  <r>
    <d v="2018-02-26T00:00:00"/>
    <n v="1521.9499510000001"/>
    <n v="225.473083"/>
    <n v="10326.5"/>
    <n v="294.16000400000001"/>
    <x v="5"/>
    <s v="Feb"/>
    <x v="3"/>
    <n v="-6.5507876874986585E-3"/>
    <n v="2.5977801772139698E-2"/>
    <s v="Normal"/>
  </r>
  <r>
    <d v="2018-02-27T00:00:00"/>
    <n v="1511.9799800000001"/>
    <n v="223.94039900000001"/>
    <n v="10594.759770000001"/>
    <n v="290.60998499999999"/>
    <x v="5"/>
    <s v="Feb"/>
    <x v="3"/>
    <n v="3.1083149659163263E-4"/>
    <n v="-2.4570575043817156E-2"/>
    <s v="Normal"/>
  </r>
  <r>
    <d v="2018-02-28T00:00:00"/>
    <n v="1512.4499510000001"/>
    <n v="219.92575099999999"/>
    <n v="10334.440430000001"/>
    <n v="291.38000499999998"/>
    <x v="5"/>
    <s v="Feb"/>
    <x v="3"/>
    <n v="-1.256239916397736E-2"/>
    <n v="5.7567673260079839E-2"/>
    <s v="High Volatility"/>
  </r>
  <r>
    <d v="2018-03-01T00:00:00"/>
    <n v="1493.4499510000001"/>
    <n v="220.33116100000001"/>
    <n v="10929.37012"/>
    <n v="290.39001500000001"/>
    <x v="5"/>
    <s v="Mar"/>
    <x v="3"/>
    <n v="4.5532486679226818E-3"/>
    <n v="1.0407736104740866E-2"/>
    <s v="Normal"/>
  </r>
  <r>
    <d v="2018-03-02T00:00:00"/>
    <n v="1500.25"/>
    <n v="220.608047"/>
    <n v="11043.12012"/>
    <n v="301.04998799999998"/>
    <x v="5"/>
    <s v="Mar"/>
    <x v="3"/>
    <n v="1.5570728211964707E-2"/>
    <n v="3.6005254464261033E-2"/>
    <s v="Normal"/>
  </r>
  <r>
    <d v="2018-03-05T00:00:00"/>
    <n v="1523.6099850000001"/>
    <n v="217.15701300000001"/>
    <n v="11440.73047"/>
    <n v="315"/>
    <x v="5"/>
    <s v="Mar"/>
    <x v="3"/>
    <n v="9.2084130047230539E-3"/>
    <n v="-6.1646436986641212E-2"/>
    <s v="High Volatility"/>
  </r>
  <r>
    <d v="2018-03-06T00:00:00"/>
    <n v="1537.6400149999999"/>
    <n v="218.966568"/>
    <n v="10735.450199999999"/>
    <n v="325.22000100000002"/>
    <x v="5"/>
    <s v="Mar"/>
    <x v="3"/>
    <n v="4.7865462190121609E-3"/>
    <n v="-7.5161322065468661E-2"/>
    <s v="High Volatility"/>
  </r>
  <r>
    <d v="2018-03-07T00:00:00"/>
    <n v="1545"/>
    <n v="220.469604"/>
    <n v="9928.5595699999994"/>
    <n v="321.16000400000001"/>
    <x v="5"/>
    <s v="Mar"/>
    <x v="3"/>
    <n v="4.4401197411003566E-3"/>
    <n v="-6.1624230452192348E-2"/>
    <s v="High Volatility"/>
  </r>
  <r>
    <d v="2018-03-08T00:00:00"/>
    <n v="1551.8599850000001"/>
    <n v="220.29161099999999"/>
    <n v="9316.7197269999997"/>
    <n v="317"/>
    <x v="5"/>
    <s v="Mar"/>
    <x v="3"/>
    <n v="1.7417827807448685E-2"/>
    <n v="-6.8650729950202865E-3"/>
    <s v="Normal"/>
  </r>
  <r>
    <d v="2018-03-09T00:00:00"/>
    <n v="1578.8900149999999"/>
    <n v="227.68806499999999"/>
    <n v="9252.7597659999992"/>
    <n v="331.44000199999999"/>
    <x v="5"/>
    <s v="Mar"/>
    <x v="3"/>
    <n v="1.2350448615637107E-2"/>
    <n v="-1.195420369676547E-2"/>
    <s v="Normal"/>
  </r>
  <r>
    <d v="2018-03-12T00:00:00"/>
    <n v="1598.3900149999999"/>
    <n v="225.14674400000001"/>
    <n v="9142.1503909999992"/>
    <n v="321.29998799999998"/>
    <x v="5"/>
    <s v="Mar"/>
    <x v="3"/>
    <n v="-6.3876531410889861E-3"/>
    <n v="1.9655907233479216E-3"/>
    <s v="Normal"/>
  </r>
  <r>
    <d v="2018-03-13T00:00:00"/>
    <n v="1588.1800539999999"/>
    <n v="223.87117000000001"/>
    <n v="9160.1201170000004"/>
    <n v="315.88000499999998"/>
    <x v="5"/>
    <s v="Mar"/>
    <x v="3"/>
    <n v="1.775583311789957E-3"/>
    <n v="-0.10288292183537978"/>
    <s v="High Volatility"/>
  </r>
  <r>
    <d v="2018-03-14T00:00:00"/>
    <n v="1591"/>
    <n v="224.67408800000001"/>
    <n v="8217.7001949999994"/>
    <n v="321.54998799999998"/>
    <x v="5"/>
    <s v="Mar"/>
    <x v="3"/>
    <n v="-5.4557221873035369E-3"/>
    <n v="6.1708214946627751E-3"/>
    <s v="Normal"/>
  </r>
  <r>
    <d v="2018-03-15T00:00:00"/>
    <n v="1582.3199460000001"/>
    <n v="224.83268699999999"/>
    <n v="8268.4101559999999"/>
    <n v="321.08999599999999"/>
    <x v="5"/>
    <s v="Mar"/>
    <x v="3"/>
    <n v="-6.7242355295445066E-3"/>
    <n v="1.7924017701571998E-3"/>
    <s v="Normal"/>
  </r>
  <r>
    <d v="2018-03-16T00:00:00"/>
    <n v="1571.6800539999999"/>
    <n v="227.77662699999999"/>
    <n v="8283.2304690000001"/>
    <n v="318.45001200000002"/>
    <x v="5"/>
    <s v="Mar"/>
    <x v="3"/>
    <n v="-1.7020003487300095E-2"/>
    <n v="4.1035822952423057E-2"/>
    <s v="Normal"/>
  </r>
  <r>
    <d v="2018-03-19T00:00:00"/>
    <n v="1544.9300539999999"/>
    <n v="225.675217"/>
    <n v="8623.1396480000003"/>
    <n v="313.48001099999999"/>
    <x v="5"/>
    <s v="Mar"/>
    <x v="3"/>
    <n v="2.6913811335564867E-2"/>
    <n v="3.4508349063907005E-2"/>
    <s v="Normal"/>
  </r>
  <r>
    <d v="2018-03-20T00:00:00"/>
    <n v="1586.51001"/>
    <n v="229.56088299999999"/>
    <n v="8920.7099610000005"/>
    <n v="317.5"/>
    <x v="5"/>
    <s v="Mar"/>
    <x v="3"/>
    <n v="-2.9309774099691398E-3"/>
    <n v="-1.0492833015445791E-3"/>
    <s v="Normal"/>
  </r>
  <r>
    <d v="2018-03-21T00:00:00"/>
    <n v="1581.8599850000001"/>
    <n v="226.26005599999999"/>
    <n v="8911.3496090000008"/>
    <n v="316.48001099999999"/>
    <x v="5"/>
    <s v="Mar"/>
    <x v="3"/>
    <n v="-2.3352219128294143E-2"/>
    <n v="-2.0913682907443956E-2"/>
    <s v="Normal"/>
  </r>
  <r>
    <d v="2018-03-22T00:00:00"/>
    <n v="1544.920044"/>
    <n v="224.41635099999999"/>
    <n v="8724.9804690000001"/>
    <n v="306.70001200000002"/>
    <x v="5"/>
    <s v="Mar"/>
    <x v="3"/>
    <n v="-3.1949863807968076E-2"/>
    <n v="2.4048115264612001E-2"/>
    <s v="Normal"/>
  </r>
  <r>
    <d v="2018-03-23T00:00:00"/>
    <n v="1495.5600589999999"/>
    <n v="224.66413900000001"/>
    <n v="8934.7998050000006"/>
    <n v="300.94000199999999"/>
    <x v="5"/>
    <s v="Mar"/>
    <x v="3"/>
    <n v="4.0319294191581603E-2"/>
    <n v="-0.12605988377822422"/>
    <s v="High Volatility"/>
  </r>
  <r>
    <d v="2018-03-26T00:00:00"/>
    <n v="1555.8599850000001"/>
    <n v="229.253601"/>
    <n v="7808.4799800000001"/>
    <n v="320.35000600000001"/>
    <x v="5"/>
    <s v="Mar"/>
    <x v="3"/>
    <n v="-3.7798989990734999E-2"/>
    <n v="1.9376345381883101E-2"/>
    <s v="Normal"/>
  </r>
  <r>
    <d v="2018-03-27T00:00:00"/>
    <n v="1497.0500489999999"/>
    <n v="229.55096399999999"/>
    <n v="7959.7797849999997"/>
    <n v="300.69000199999999"/>
    <x v="5"/>
    <s v="Mar"/>
    <x v="3"/>
    <n v="-4.3839553022184889E-2"/>
    <n v="-0.10718382807621848"/>
    <s v="High Volatility"/>
  </r>
  <r>
    <d v="2018-03-28T00:00:00"/>
    <n v="1431.420044"/>
    <n v="231.82089199999999"/>
    <n v="7106.6201170000004"/>
    <n v="285.76998900000001"/>
    <x v="5"/>
    <s v="Mar"/>
    <x v="3"/>
    <n v="1.1121768251555966E-2"/>
    <n v="-3.5580957872663542E-2"/>
    <s v="Normal"/>
  </r>
  <r>
    <d v="2018-03-29T00:00:00"/>
    <n v="1447.339966"/>
    <n v="231.513611"/>
    <n v="6853.7597660000001"/>
    <n v="295.35000600000001"/>
    <x v="5"/>
    <s v="Mar"/>
    <x v="3"/>
    <n v="-5.2061006930005531E-2"/>
    <n v="8.4703879158404619E-2"/>
    <s v="High Volatility"/>
  </r>
  <r>
    <d v="2018-04-02T00:00:00"/>
    <n v="1371.98999"/>
    <n v="228.40112300000001"/>
    <n v="7434.2998049999997"/>
    <n v="280.290009"/>
    <x v="5"/>
    <s v="Apr"/>
    <x v="0"/>
    <n v="1.4621140931210372E-2"/>
    <n v="-8.3235788336625968E-2"/>
    <s v="High Volatility"/>
  </r>
  <r>
    <d v="2018-04-03T00:00:00"/>
    <n v="1392.0500489999999"/>
    <n v="231.42439300000001"/>
    <n v="6815.5"/>
    <n v="283.67001299999998"/>
    <x v="5"/>
    <s v="Apr"/>
    <x v="0"/>
    <n v="1.3304045363386306E-2"/>
    <n v="-3.6754170640451401E-3"/>
    <s v="Normal"/>
  </r>
  <r>
    <d v="2018-04-04T00:00:00"/>
    <n v="1410.5699460000001"/>
    <n v="229.422089"/>
    <n v="6790.4501950000003"/>
    <n v="288.94000199999999"/>
    <x v="5"/>
    <s v="Apr"/>
    <x v="0"/>
    <n v="2.9193911380839759E-2"/>
    <n v="-2.2913109960598227E-2"/>
    <s v="Normal"/>
  </r>
  <r>
    <d v="2018-04-05T00:00:00"/>
    <n v="1451.75"/>
    <n v="233.724075"/>
    <n v="6634.8598629999997"/>
    <n v="293.97000100000002"/>
    <x v="5"/>
    <s v="Apr"/>
    <x v="0"/>
    <n v="-3.2044098501808116E-2"/>
    <n v="4.2554076171902516E-2"/>
    <s v="Normal"/>
  </r>
  <r>
    <d v="2018-04-06T00:00:00"/>
    <n v="1405.2299800000001"/>
    <n v="229.432007"/>
    <n v="6917.2001950000003"/>
    <n v="288.85000600000001"/>
    <x v="5"/>
    <s v="Apr"/>
    <x v="0"/>
    <n v="6.0486611593638898E-4"/>
    <n v="-6.6689368096278139E-3"/>
    <s v="Normal"/>
  </r>
  <r>
    <d v="2018-04-09T00:00:00"/>
    <n v="1406.079956"/>
    <n v="230.39350899999999"/>
    <n v="6871.0698240000002"/>
    <n v="289.92999300000002"/>
    <x v="5"/>
    <s v="Apr"/>
    <x v="0"/>
    <n v="2.1435491539003169E-2"/>
    <n v="1.5435741699137105E-2"/>
    <s v="Normal"/>
  </r>
  <r>
    <d v="2018-04-10T00:00:00"/>
    <n v="1436.219971"/>
    <n v="229.66990699999999"/>
    <n v="6977.1298829999996"/>
    <n v="298.07000699999998"/>
    <x v="5"/>
    <s v="Apr"/>
    <x v="0"/>
    <n v="-6.3847615164516064E-3"/>
    <n v="0.13624514849811928"/>
    <s v="High Volatility"/>
  </r>
  <r>
    <d v="2018-04-11T00:00:00"/>
    <n v="1427.0500489999999"/>
    <n v="228.97602800000001"/>
    <n v="7927.7299800000001"/>
    <n v="303.67001299999998"/>
    <x v="5"/>
    <s v="Apr"/>
    <x v="0"/>
    <n v="1.5030973170864631E-2"/>
    <n v="-3.610127624452768E-3"/>
    <s v="Normal"/>
  </r>
  <r>
    <d v="2018-04-12T00:00:00"/>
    <n v="1448.5"/>
    <n v="229.45182800000001"/>
    <n v="7899.1098629999997"/>
    <n v="309.25"/>
    <x v="5"/>
    <s v="Apr"/>
    <x v="0"/>
    <n v="-1.2226414221608575E-2"/>
    <n v="1.5622001103949002E-2"/>
    <s v="Normal"/>
  </r>
  <r>
    <d v="2018-04-13T00:00:00"/>
    <n v="1430.790039"/>
    <n v="228.30201700000001"/>
    <n v="8022.5097660000001"/>
    <n v="311.64999399999999"/>
    <x v="5"/>
    <s v="Apr"/>
    <x v="0"/>
    <n v="7.4853477505933495E-3"/>
    <n v="-1.2574603950940271E-2"/>
    <s v="Normal"/>
  </r>
  <r>
    <d v="2018-04-16T00:00:00"/>
    <n v="1441.5"/>
    <n v="230.314224"/>
    <n v="7921.6298829999996"/>
    <n v="307.77999899999998"/>
    <x v="5"/>
    <s v="Apr"/>
    <x v="0"/>
    <n v="4.3239650364203984E-2"/>
    <n v="3.3873089498392558E-2"/>
    <s v="Normal"/>
  </r>
  <r>
    <d v="2018-04-17T00:00:00"/>
    <n v="1503.829956"/>
    <n v="235.082077"/>
    <n v="8189.9599609999996"/>
    <n v="336.05999800000001"/>
    <x v="5"/>
    <s v="Apr"/>
    <x v="0"/>
    <n v="1.5965907517804471E-2"/>
    <n v="1.3658229409261041E-2"/>
    <s v="Normal"/>
  </r>
  <r>
    <d v="2018-04-18T00:00:00"/>
    <n v="1527.839966"/>
    <n v="236.103058"/>
    <n v="8301.8203130000002"/>
    <n v="334.51998900000001"/>
    <x v="5"/>
    <s v="Apr"/>
    <x v="0"/>
    <n v="1.9026906382157038E-2"/>
    <n v="6.9293208394210729E-2"/>
    <s v="High Volatility"/>
  </r>
  <r>
    <d v="2018-04-19T00:00:00"/>
    <n v="1556.910034"/>
    <n v="238.58114599999999"/>
    <n v="8877.0800780000009"/>
    <n v="332.70001200000002"/>
    <x v="5"/>
    <s v="Apr"/>
    <x v="0"/>
    <n v="-1.8896431622586588E-2"/>
    <n v="6.6057361750430773E-3"/>
    <s v="Normal"/>
  </r>
  <r>
    <d v="2018-04-20T00:00:00"/>
    <n v="1527.48999"/>
    <n v="236.83656300000001"/>
    <n v="8935.7197269999997"/>
    <n v="327.76998900000001"/>
    <x v="5"/>
    <s v="Apr"/>
    <x v="0"/>
    <n v="-6.3044635729494914E-3"/>
    <n v="8.0581064088694671E-2"/>
    <s v="High Volatility"/>
  </r>
  <r>
    <d v="2018-04-23T00:00:00"/>
    <n v="1517.8599850000001"/>
    <n v="237.38172900000001"/>
    <n v="9655.7695309999999"/>
    <n v="318.69000199999999"/>
    <x v="5"/>
    <s v="Apr"/>
    <x v="0"/>
    <n v="-3.8060176545203571E-2"/>
    <n v="-8.1003322571950018E-2"/>
    <s v="High Volatility"/>
  </r>
  <r>
    <d v="2018-04-24T00:00:00"/>
    <n v="1460.089966"/>
    <n v="229.78887900000001"/>
    <n v="8873.6201170000004"/>
    <n v="307.01998900000001"/>
    <x v="5"/>
    <s v="Apr"/>
    <x v="0"/>
    <n v="5.4844565653263099E-5"/>
    <n v="4.603532657628643E-2"/>
    <s v="Normal"/>
  </r>
  <r>
    <d v="2018-04-25T00:00:00"/>
    <n v="1460.170044"/>
    <n v="231.48387099999999"/>
    <n v="9282.1201170000004"/>
    <n v="305.76001000000002"/>
    <x v="5"/>
    <s v="Apr"/>
    <x v="0"/>
    <n v="3.95775253967613E-2"/>
    <n v="-3.7022833756547982E-2"/>
    <s v="Normal"/>
  </r>
  <r>
    <d v="2018-04-26T00:00:00"/>
    <n v="1517.959961"/>
    <n v="248.41424599999999"/>
    <n v="8938.4697269999997"/>
    <n v="313.98001099999999"/>
    <x v="5"/>
    <s v="Apr"/>
    <x v="0"/>
    <n v="3.6008877311883195E-2"/>
    <n v="4.6204776948840696E-2"/>
    <s v="Normal"/>
  </r>
  <r>
    <d v="2018-04-27T00:00:00"/>
    <n v="1572.619995"/>
    <n v="246.24340799999999"/>
    <n v="9351.4697269999997"/>
    <n v="311.76001000000002"/>
    <x v="5"/>
    <s v="Apr"/>
    <x v="0"/>
    <n v="-4.1268647356858985E-3"/>
    <n v="-2.93204664084349E-2"/>
    <s v="Normal"/>
  </r>
  <r>
    <d v="2018-04-30T00:00:00"/>
    <n v="1566.130005"/>
    <n v="239.61199999999999"/>
    <n v="9077.2802730000003"/>
    <n v="312.459991"/>
    <x v="5"/>
    <s v="Apr"/>
    <x v="0"/>
    <n v="1.0299275889296293E-2"/>
    <n v="1.7065701657441843E-2"/>
    <s v="Normal"/>
  </r>
  <r>
    <d v="2018-05-01T00:00:00"/>
    <n v="1582.26001"/>
    <n v="245.50988799999999"/>
    <n v="9232.1904300000006"/>
    <n v="313.29998799999998"/>
    <x v="5"/>
    <s v="May"/>
    <x v="0"/>
    <n v="-7.9506250050521334E-3"/>
    <n v="5.5550154959271021E-2"/>
    <s v="High Volatility"/>
  </r>
  <r>
    <d v="2018-05-02T00:00:00"/>
    <n v="1569.6800539999999"/>
    <n v="242.13969399999999"/>
    <n v="9745.0400389999995"/>
    <n v="313.35998499999999"/>
    <x v="5"/>
    <s v="May"/>
    <x v="0"/>
    <n v="1.5289115727020069E-3"/>
    <n v="-4.6618266131476724E-3"/>
    <s v="Normal"/>
  </r>
  <r>
    <d v="2018-05-03T00:00:00"/>
    <n v="1572.079956"/>
    <n v="243.676117"/>
    <n v="9699.6103519999997"/>
    <n v="311.69000199999999"/>
    <x v="5"/>
    <s v="May"/>
    <x v="0"/>
    <n v="5.6422034809023519E-3"/>
    <n v="1.5082053164108331E-2"/>
    <s v="Normal"/>
  </r>
  <r>
    <d v="2018-05-04T00:00:00"/>
    <n v="1580.9499510000001"/>
    <n v="246.06500199999999"/>
    <n v="9845.9003909999992"/>
    <n v="320.08999599999999"/>
    <x v="5"/>
    <s v="May"/>
    <x v="0"/>
    <n v="1.2138312150780978E-2"/>
    <n v="-6.5994016006290887E-2"/>
    <s v="High Volatility"/>
  </r>
  <r>
    <d v="2018-05-07T00:00:00"/>
    <n v="1600.1400149999999"/>
    <n v="248.30519100000001"/>
    <n v="9196.1298829999996"/>
    <n v="326.26001000000002"/>
    <x v="5"/>
    <s v="May"/>
    <x v="0"/>
    <n v="-4.8433261635545061E-3"/>
    <n v="1.3595966410949865E-2"/>
    <s v="Normal"/>
  </r>
  <r>
    <d v="2018-05-08T00:00:00"/>
    <n v="1592.3900149999999"/>
    <n v="248.21598800000001"/>
    <n v="9321.1601559999999"/>
    <n v="326.89001500000001"/>
    <x v="5"/>
    <s v="May"/>
    <x v="0"/>
    <n v="9.8028654117126267E-3"/>
    <n v="-3.0998333272281586E-2"/>
    <s v="Normal"/>
  </r>
  <r>
    <d v="2018-05-09T00:00:00"/>
    <n v="1608"/>
    <n v="247.72036700000001"/>
    <n v="9032.2197269999997"/>
    <n v="330.29998799999998"/>
    <x v="5"/>
    <s v="May"/>
    <x v="0"/>
    <n v="6.7161442786072033E-4"/>
    <n v="-6.7671042719751551E-2"/>
    <s v="High Volatility"/>
  </r>
  <r>
    <d v="2018-05-10T00:00:00"/>
    <n v="1609.079956"/>
    <n v="247.532028"/>
    <n v="8421"/>
    <n v="329.60000600000001"/>
    <x v="5"/>
    <s v="May"/>
    <x v="0"/>
    <n v="-3.8344409033208055E-3"/>
    <n v="7.7983519771997545E-3"/>
    <s v="Normal"/>
  </r>
  <r>
    <d v="2018-05-11T00:00:00"/>
    <n v="1602.910034"/>
    <n v="247.72036700000001"/>
    <n v="8486.6699219999991"/>
    <n v="326.459991"/>
    <x v="5"/>
    <s v="May"/>
    <x v="0"/>
    <n v="-8.546923850624652E-4"/>
    <n v="-7.6705775761632343E-4"/>
    <s v="Normal"/>
  </r>
  <r>
    <d v="2018-05-14T00:00:00"/>
    <n v="1601.540039"/>
    <n v="243.98339799999999"/>
    <n v="8480.1601559999999"/>
    <n v="328.52999899999998"/>
    <x v="5"/>
    <s v="May"/>
    <x v="0"/>
    <n v="-1.5872250072419176E-2"/>
    <n v="-1.5964307337310576E-2"/>
    <s v="Normal"/>
  </r>
  <r>
    <d v="2018-05-15T00:00:00"/>
    <n v="1576.119995"/>
    <n v="244.93498199999999"/>
    <n v="8344.7802730000003"/>
    <n v="326.13000499999998"/>
    <x v="5"/>
    <s v="May"/>
    <x v="0"/>
    <n v="7.0807007305303529E-3"/>
    <n v="-3.2803767749967197E-2"/>
    <s v="Normal"/>
  </r>
  <r>
    <d v="2018-05-16T00:00:00"/>
    <n v="1587.280029"/>
    <n v="245.172867"/>
    <n v="8071.0400390000004"/>
    <n v="328.19000199999999"/>
    <x v="5"/>
    <s v="May"/>
    <x v="0"/>
    <n v="-3.4776592026283522E-3"/>
    <n v="2.191416671771506E-2"/>
    <s v="Normal"/>
  </r>
  <r>
    <d v="2018-05-17T00:00:00"/>
    <n v="1581.76001"/>
    <n v="244.38980100000001"/>
    <n v="8247.9101559999999"/>
    <n v="325.22000100000002"/>
    <x v="5"/>
    <s v="May"/>
    <x v="0"/>
    <n v="-4.6720203781102981E-3"/>
    <n v="1.6126242585623858E-4"/>
    <s v="Normal"/>
  </r>
  <r>
    <d v="2018-05-18T00:00:00"/>
    <n v="1574.369995"/>
    <n v="242.71461500000001"/>
    <n v="8249.2402340000008"/>
    <n v="324.17999300000002"/>
    <x v="5"/>
    <s v="May"/>
    <x v="0"/>
    <n v="7.0440659026914472E-3"/>
    <n v="-3.1092588738397112E-2"/>
    <s v="Normal"/>
  </r>
  <r>
    <d v="2018-05-21T00:00:00"/>
    <n v="1585.459961"/>
    <n v="246.193848"/>
    <n v="7992.75"/>
    <n v="331.82000699999998"/>
    <x v="5"/>
    <s v="May"/>
    <x v="0"/>
    <n v="-2.5607313334101854E-3"/>
    <n v="-6.0927713240123874E-2"/>
    <s v="High Volatility"/>
  </r>
  <r>
    <d v="2018-05-22T00:00:00"/>
    <n v="1581.400024"/>
    <n v="246.035248"/>
    <n v="7505.7700199999999"/>
    <n v="331.61999500000002"/>
    <x v="5"/>
    <s v="May"/>
    <x v="0"/>
    <n v="1.2937878265771433E-2"/>
    <n v="1.0521267476831103E-2"/>
    <s v="Normal"/>
  </r>
  <r>
    <d v="2018-05-23T00:00:00"/>
    <n v="1601.8599850000001"/>
    <n v="247.304047"/>
    <n v="7584.7402339999999"/>
    <n v="344.72000100000002"/>
    <x v="5"/>
    <s v="May"/>
    <x v="0"/>
    <n v="7.5534754056548904E-4"/>
    <n v="-1.4421109705205522E-2"/>
    <s v="Normal"/>
  </r>
  <r>
    <d v="2018-05-24T00:00:00"/>
    <n v="1603.0699460000001"/>
    <n v="250.02993799999999"/>
    <n v="7475.3598629999997"/>
    <n v="349.290009"/>
    <x v="5"/>
    <s v="May"/>
    <x v="0"/>
    <n v="4.4165745965522316E-3"/>
    <n v="-1.6092844519156137E-2"/>
    <s v="Normal"/>
  </r>
  <r>
    <d v="2018-05-25T00:00:00"/>
    <n v="1610.150024"/>
    <n v="248.146591"/>
    <n v="7355.0600590000004"/>
    <n v="351.290009"/>
    <x v="5"/>
    <s v="May"/>
    <x v="0"/>
    <n v="1.6892655711937478E-3"/>
    <n v="5.161067441393624E-3"/>
    <s v="Normal"/>
  </r>
  <r>
    <d v="2018-05-29T00:00:00"/>
    <n v="1612.869995"/>
    <n v="243.64639299999999"/>
    <n v="7393.0200199999999"/>
    <n v="349.73001099999999"/>
    <x v="5"/>
    <s v="May"/>
    <x v="0"/>
    <n v="7.4525659459613982E-3"/>
    <n v="1.4761204718068676E-2"/>
    <s v="Normal"/>
  </r>
  <r>
    <d v="2018-05-30T00:00:00"/>
    <n v="1624.8900149999999"/>
    <n v="249.494675"/>
    <n v="7502.1499020000001"/>
    <n v="353.540009"/>
    <x v="5"/>
    <s v="May"/>
    <x v="0"/>
    <n v="2.9109539453967713E-3"/>
    <n v="3.7855685864699134E-3"/>
    <s v="Normal"/>
  </r>
  <r>
    <d v="2018-05-31T00:00:00"/>
    <n v="1629.619995"/>
    <n v="249.27659600000001"/>
    <n v="7530.5498049999997"/>
    <n v="351.60000600000001"/>
    <x v="5"/>
    <s v="May"/>
    <x v="0"/>
    <n v="7.3146156997171367E-3"/>
    <n v="1.4967029489024206E-2"/>
    <s v="Normal"/>
  </r>
  <r>
    <d v="2018-06-01T00:00:00"/>
    <n v="1641.540039"/>
    <n v="250.634613"/>
    <n v="7643.2597660000001"/>
    <n v="359.92999300000002"/>
    <x v="5"/>
    <s v="Jun"/>
    <x v="0"/>
    <n v="1.4455925799078211E-2"/>
    <n v="-1.8133446231480622E-3"/>
    <s v="Normal"/>
  </r>
  <r>
    <d v="2018-06-04T00:00:00"/>
    <n v="1665.2700199999999"/>
    <n v="253.152344"/>
    <n v="7629.3999020000001"/>
    <n v="361.80999800000001"/>
    <x v="5"/>
    <s v="Jun"/>
    <x v="0"/>
    <n v="1.8663613484136369E-2"/>
    <n v="4.2454370482676428E-3"/>
    <s v="Normal"/>
  </r>
  <r>
    <d v="2018-06-05T00:00:00"/>
    <n v="1696.349976"/>
    <n v="260.32891799999999"/>
    <n v="7661.7900390000004"/>
    <n v="365.79998799999998"/>
    <x v="5"/>
    <s v="Jun"/>
    <x v="0"/>
    <n v="-3.5368644942874078E-4"/>
    <n v="5.001419225134582E-3"/>
    <s v="Normal"/>
  </r>
  <r>
    <d v="2018-06-06T00:00:00"/>
    <n v="1695.75"/>
    <n v="267.26760899999999"/>
    <n v="7700.1098629999997"/>
    <n v="367.45001200000002"/>
    <x v="5"/>
    <s v="Jun"/>
    <x v="0"/>
    <n v="-3.8035978180746312E-3"/>
    <n v="-9.4271178322796554E-3"/>
    <s v="Normal"/>
  </r>
  <r>
    <d v="2018-06-07T00:00:00"/>
    <n v="1689.3000489999999"/>
    <n v="269.65649400000001"/>
    <n v="7627.5200199999999"/>
    <n v="361.39999399999999"/>
    <x v="5"/>
    <s v="Jun"/>
    <x v="0"/>
    <n v="-3.1433486331473551E-3"/>
    <n v="-1.4923602783280573E-2"/>
    <s v="Normal"/>
  </r>
  <r>
    <d v="2018-06-08T00:00:00"/>
    <n v="1683.98999"/>
    <n v="267.67398100000003"/>
    <n v="7513.6899409999996"/>
    <n v="360.57000699999998"/>
    <x v="5"/>
    <s v="Jun"/>
    <x v="0"/>
    <n v="3.0463393668984829E-3"/>
    <n v="-0.12733424023518675"/>
    <s v="High Volatility"/>
  </r>
  <r>
    <d v="2018-06-11T00:00:00"/>
    <n v="1689.119995"/>
    <n v="267.406342"/>
    <n v="6556.9399409999996"/>
    <n v="361.45001200000002"/>
    <x v="5"/>
    <s v="Jun"/>
    <x v="0"/>
    <n v="5.701196497884085E-3"/>
    <n v="-3.7595245223857356E-2"/>
    <s v="Normal"/>
  </r>
  <r>
    <d v="2018-06-12T00:00:00"/>
    <n v="1698.75"/>
    <n v="270.80633499999999"/>
    <n v="6310.4301759999998"/>
    <n v="363.82998700000002"/>
    <x v="5"/>
    <s v="Jun"/>
    <x v="0"/>
    <n v="3.5967534952171015E-3"/>
    <n v="5.2742773585519868E-2"/>
    <s v="High Volatility"/>
  </r>
  <r>
    <d v="2018-06-13T00:00:00"/>
    <n v="1704.8599850000001"/>
    <n v="271.182953"/>
    <n v="6643.2597660000001"/>
    <n v="379.92999300000002"/>
    <x v="5"/>
    <s v="Jun"/>
    <x v="0"/>
    <n v="1.1144610212667992E-2"/>
    <n v="-3.7112775005703508E-2"/>
    <s v="Normal"/>
  </r>
  <r>
    <d v="2018-06-14T00:00:00"/>
    <n v="1723.8599850000001"/>
    <n v="271.79879799999998"/>
    <n v="6396.7099609999996"/>
    <n v="392.86999500000002"/>
    <x v="5"/>
    <s v="Jun"/>
    <x v="0"/>
    <n v="-4.5769459635087847E-3"/>
    <n v="1.6632008899676344E-2"/>
    <s v="Normal"/>
  </r>
  <r>
    <d v="2018-06-15T00:00:00"/>
    <n v="1715.969971"/>
    <n v="275.46383700000001"/>
    <n v="6503.1000979999999"/>
    <n v="391.98001099999999"/>
    <x v="5"/>
    <s v="Jun"/>
    <x v="0"/>
    <n v="4.557228932999779E-3"/>
    <n v="3.6625560641954588E-2"/>
    <s v="Normal"/>
  </r>
  <r>
    <d v="2018-06-18T00:00:00"/>
    <n v="1723.790039"/>
    <n v="279.82412699999998"/>
    <n v="6741.2797849999997"/>
    <n v="390.39999399999999"/>
    <x v="5"/>
    <s v="Jun"/>
    <x v="0"/>
    <n v="6.3754806277773338E-3"/>
    <n v="2.9653471799939855E-3"/>
    <s v="Normal"/>
  </r>
  <r>
    <d v="2018-06-19T00:00:00"/>
    <n v="1734.780029"/>
    <n v="285.44586199999998"/>
    <n v="6761.2700199999999"/>
    <n v="404.98001099999999"/>
    <x v="5"/>
    <s v="Jun"/>
    <x v="0"/>
    <n v="8.8195199069818347E-3"/>
    <n v="-6.009208755132606E-3"/>
    <s v="Normal"/>
  </r>
  <r>
    <d v="2018-06-20T00:00:00"/>
    <n v="1750.079956"/>
    <n v="285.95239299999997"/>
    <n v="6720.6401370000003"/>
    <n v="416.76001000000002"/>
    <x v="5"/>
    <s v="Jun"/>
    <x v="0"/>
    <n v="-1.13480443747223E-2"/>
    <n v="-9.956937261317314E-2"/>
    <s v="High Volatility"/>
  </r>
  <r>
    <d v="2018-06-21T00:00:00"/>
    <n v="1730.219971"/>
    <n v="288.79302999999999"/>
    <n v="6051.4702150000003"/>
    <n v="415.44000199999999"/>
    <x v="5"/>
    <s v="Jun"/>
    <x v="0"/>
    <n v="-8.4092931788266965E-3"/>
    <n v="1.901518472565103E-2"/>
    <s v="Normal"/>
  </r>
  <r>
    <d v="2018-06-22T00:00:00"/>
    <n v="1715.670044"/>
    <n v="290.41201799999999"/>
    <n v="6166.5400390000004"/>
    <n v="411.08999599999999"/>
    <x v="5"/>
    <s v="Jun"/>
    <x v="0"/>
    <n v="-3.0611958391225446E-2"/>
    <n v="-1.2673217315665614E-2"/>
    <s v="Normal"/>
  </r>
  <r>
    <d v="2018-06-25T00:00:00"/>
    <n v="1663.150024"/>
    <n v="277.61914100000001"/>
    <n v="6088.3901370000003"/>
    <n v="384.48001099999999"/>
    <x v="5"/>
    <s v="Jun"/>
    <x v="0"/>
    <n v="1.6799411716810927E-2"/>
    <n v="8.7346056680598395E-3"/>
    <s v="Normal"/>
  </r>
  <r>
    <d v="2018-06-26T00:00:00"/>
    <n v="1691.089966"/>
    <n v="281.19476300000002"/>
    <n v="6141.5698240000002"/>
    <n v="399.39001500000001"/>
    <x v="5"/>
    <s v="Jun"/>
    <x v="0"/>
    <n v="-1.8082985893608003E-2"/>
    <n v="-4.4009926899106835E-2"/>
    <s v="Normal"/>
  </r>
  <r>
    <d v="2018-06-27T00:00:00"/>
    <n v="1660.51001"/>
    <n v="279.56588699999998"/>
    <n v="5871.2797849999997"/>
    <n v="390.39001500000001"/>
    <x v="5"/>
    <s v="Jun"/>
    <x v="0"/>
    <n v="2.465504017045949E-2"/>
    <n v="5.6635015222664939E-2"/>
    <s v="High Volatility"/>
  </r>
  <r>
    <d v="2018-06-28T00:00:00"/>
    <n v="1701.4499510000001"/>
    <n v="280.18167099999999"/>
    <n v="6203.7998049999997"/>
    <n v="395.42001299999998"/>
    <x v="5"/>
    <s v="Jun"/>
    <x v="0"/>
    <n v="-9.697035161277635E-4"/>
    <n v="2.9269171106013788E-2"/>
    <s v="Normal"/>
  </r>
  <r>
    <d v="2018-06-29T00:00:00"/>
    <n v="1699.8000489999999"/>
    <n v="280.261169"/>
    <n v="6385.3798829999996"/>
    <n v="391.42999300000002"/>
    <x v="5"/>
    <s v="Jun"/>
    <x v="0"/>
    <n v="8.2244849964703513E-3"/>
    <n v="1.9450713548094842E-2"/>
    <s v="Normal"/>
  </r>
  <r>
    <d v="2018-07-02T00:00:00"/>
    <n v="1713.780029"/>
    <n v="279.09906000000001"/>
    <n v="6509.580078"/>
    <n v="398.17999300000002"/>
    <x v="5"/>
    <s v="Jul"/>
    <x v="1"/>
    <n v="-1.1565117847455085E-2"/>
    <n v="1.2363313767656581E-2"/>
    <s v="Normal"/>
  </r>
  <r>
    <d v="2018-07-03T00:00:00"/>
    <n v="1693.959961"/>
    <n v="278.23492399999998"/>
    <n v="6590.0600590000004"/>
    <n v="390.51998900000001"/>
    <x v="5"/>
    <s v="Jul"/>
    <x v="1"/>
    <n v="3.4062310401916564E-3"/>
    <n v="1.8148485587268553E-3"/>
    <s v="Normal"/>
  </r>
  <r>
    <d v="2018-07-05T00:00:00"/>
    <n v="1699.7299800000001"/>
    <n v="275.86111499999998"/>
    <n v="6602.0200199999999"/>
    <n v="398.39001500000001"/>
    <x v="5"/>
    <s v="Jul"/>
    <x v="1"/>
    <n v="6.4127979904195801E-3"/>
    <n v="2.3638228531151897E-2"/>
    <s v="Normal"/>
  </r>
  <r>
    <d v="2018-07-06T00:00:00"/>
    <n v="1710.630005"/>
    <n v="277.26156600000002"/>
    <n v="6758.080078"/>
    <n v="408.25"/>
    <x v="5"/>
    <s v="Jul"/>
    <x v="1"/>
    <n v="1.6596233502872499E-2"/>
    <n v="-6.6768960236046504E-2"/>
    <s v="High Volatility"/>
  </r>
  <r>
    <d v="2018-07-09T00:00:00"/>
    <n v="1739.0200199999999"/>
    <n v="276.38751200000002"/>
    <n v="6306.8500979999999"/>
    <n v="418.97000100000002"/>
    <x v="5"/>
    <s v="Jul"/>
    <x v="1"/>
    <n v="2.3288553055301467E-3"/>
    <n v="1.3875351980816936E-2"/>
    <s v="Normal"/>
  </r>
  <r>
    <d v="2018-07-10T00:00:00"/>
    <n v="1743.0699460000001"/>
    <n v="270.547302"/>
    <n v="6394.3598629999997"/>
    <n v="415.63000499999998"/>
    <x v="5"/>
    <s v="Jul"/>
    <x v="1"/>
    <n v="6.8442772634437514E-3"/>
    <n v="-2.2013112808130328E-2"/>
    <s v="Normal"/>
  </r>
  <r>
    <d v="2018-07-11T00:00:00"/>
    <n v="1755"/>
    <n v="277.76812699999999"/>
    <n v="6253.6000979999999"/>
    <n v="418.64999399999999"/>
    <x v="5"/>
    <s v="Jul"/>
    <x v="1"/>
    <n v="2.3715096866096876E-2"/>
    <n v="-3.8010137564763631E-3"/>
    <s v="Normal"/>
  </r>
  <r>
    <d v="2018-07-12T00:00:00"/>
    <n v="1796.619995"/>
    <n v="277.14239500000002"/>
    <n v="6229.830078"/>
    <n v="413.5"/>
    <x v="5"/>
    <s v="Jul"/>
    <x v="1"/>
    <n v="9.1338368968781267E-3"/>
    <n v="6.2473488863591508E-3"/>
    <s v="Normal"/>
  </r>
  <r>
    <d v="2018-07-13T00:00:00"/>
    <n v="1813.030029"/>
    <n v="279.49633799999998"/>
    <n v="6268.75"/>
    <n v="395.79998799999998"/>
    <x v="5"/>
    <s v="Jul"/>
    <x v="1"/>
    <n v="5.2177629982321826E-3"/>
    <n v="0.16876573399800604"/>
    <s v="High Volatility"/>
  </r>
  <r>
    <d v="2018-07-16T00:00:00"/>
    <n v="1822.48999"/>
    <n v="277.301331"/>
    <n v="7326.7001950000003"/>
    <n v="400.48001099999999"/>
    <x v="5"/>
    <s v="Jul"/>
    <x v="1"/>
    <n v="1.1764160087375785E-2"/>
    <n v="7.7374453015952799E-3"/>
    <s v="Normal"/>
  </r>
  <r>
    <d v="2018-07-17T00:00:00"/>
    <n v="1843.9300539999999"/>
    <n v="280.13204999999999"/>
    <n v="7383.3901370000003"/>
    <n v="379.48001099999999"/>
    <x v="5"/>
    <s v="Jul"/>
    <x v="1"/>
    <n v="-5.4774854274378332E-4"/>
    <n v="1.274615877717091E-2"/>
    <s v="Normal"/>
  </r>
  <r>
    <d v="2018-07-18T00:00:00"/>
    <n v="1842.920044"/>
    <n v="281.76092499999999"/>
    <n v="7477.5"/>
    <n v="375.13000499999998"/>
    <x v="5"/>
    <s v="Jul"/>
    <x v="1"/>
    <n v="-1.6251422896781938E-2"/>
    <n v="-1.9200243931795407E-2"/>
    <s v="Normal"/>
  </r>
  <r>
    <d v="2018-07-19T00:00:00"/>
    <n v="1812.969971"/>
    <n v="274.87780800000002"/>
    <n v="7333.9301759999998"/>
    <n v="364.23001099999999"/>
    <x v="5"/>
    <s v="Jul"/>
    <x v="1"/>
    <n v="4.0264318310657152E-4"/>
    <n v="9.7450785983594652E-3"/>
    <s v="Normal"/>
  </r>
  <r>
    <d v="2018-07-20T00:00:00"/>
    <n v="1813.6999510000001"/>
    <n v="275.294983"/>
    <n v="7405.3999020000001"/>
    <n v="361.04998799999998"/>
    <x v="5"/>
    <s v="Jul"/>
    <x v="1"/>
    <n v="-6.4508746298135924E-3"/>
    <n v="0.13374300160785565"/>
    <s v="High Volatility"/>
  </r>
  <r>
    <d v="2018-07-23T00:00:00"/>
    <n v="1802"/>
    <n v="269.91162100000003"/>
    <n v="8395.8203130000002"/>
    <n v="362.66000400000001"/>
    <x v="5"/>
    <s v="Jul"/>
    <x v="1"/>
    <n v="1.5116531631520552E-2"/>
    <n v="-2.6869361728799553E-2"/>
    <s v="Normal"/>
  </r>
  <r>
    <d v="2018-07-24T00:00:00"/>
    <n v="1829.23999"/>
    <n v="261.290344"/>
    <n v="8170.2299800000001"/>
    <n v="357.32000699999998"/>
    <x v="5"/>
    <s v="Jul"/>
    <x v="1"/>
    <n v="1.8789221309337335E-2"/>
    <n v="-2.8515718721543265E-2"/>
    <s v="Normal"/>
  </r>
  <r>
    <d v="2018-07-25T00:00:00"/>
    <n v="1863.6099850000001"/>
    <n v="260.42626999999999"/>
    <n v="7937.25"/>
    <n v="362.86999500000002"/>
    <x v="5"/>
    <s v="Jul"/>
    <x v="1"/>
    <n v="-2.9839926512306193E-2"/>
    <n v="3.0947763646099129E-2"/>
    <s v="Normal"/>
  </r>
  <r>
    <d v="2018-07-26T00:00:00"/>
    <n v="1808"/>
    <n v="258.24115"/>
    <n v="8182.8901370000003"/>
    <n v="363.08999599999999"/>
    <x v="5"/>
    <s v="Jul"/>
    <x v="1"/>
    <n v="5.1272234513273958E-3"/>
    <n v="5.8634515674422117E-3"/>
    <s v="Normal"/>
  </r>
  <r>
    <d v="2018-07-27T00:00:00"/>
    <n v="1817.2700199999999"/>
    <n v="258.93640099999999"/>
    <n v="8230.8701170000004"/>
    <n v="355.209991"/>
    <x v="5"/>
    <s v="Jul"/>
    <x v="1"/>
    <n v="-2.0938027140292529E-2"/>
    <n v="-6.0208739167983243E-2"/>
    <s v="High Volatility"/>
  </r>
  <r>
    <d v="2018-07-30T00:00:00"/>
    <n v="1779.219971"/>
    <n v="254.67541499999999"/>
    <n v="7735.2998049999997"/>
    <n v="334.959991"/>
    <x v="5"/>
    <s v="Jul"/>
    <x v="1"/>
    <n v="-1.0004552719804745E-3"/>
    <n v="-1.6082104913320752E-2"/>
    <s v="Normal"/>
  </r>
  <r>
    <d v="2018-07-31T00:00:00"/>
    <n v="1777.4399410000001"/>
    <n v="260.88311800000002"/>
    <n v="7610.8999020000001"/>
    <n v="337.45001200000002"/>
    <x v="5"/>
    <s v="Jul"/>
    <x v="1"/>
    <n v="1.1100292361439553E-2"/>
    <n v="-9.0081408089447805E-3"/>
    <s v="Normal"/>
  </r>
  <r>
    <d v="2018-08-01T00:00:00"/>
    <n v="1797.170044"/>
    <n v="268.511169"/>
    <n v="7542.3398440000001"/>
    <n v="338.38000499999998"/>
    <x v="5"/>
    <s v="Aug"/>
    <x v="1"/>
    <n v="2.0676903737663278E-2"/>
    <n v="-1.6538600564284012E-2"/>
    <s v="Normal"/>
  </r>
  <r>
    <d v="2018-08-02T00:00:00"/>
    <n v="1834.329956"/>
    <n v="274.87780800000002"/>
    <n v="7417.6000979999999"/>
    <n v="344.5"/>
    <x v="5"/>
    <s v="Aug"/>
    <x v="1"/>
    <n v="-6.0185011774403245E-3"/>
    <n v="-5.3886695928481367E-2"/>
    <s v="High Volatility"/>
  </r>
  <r>
    <d v="2018-08-03T00:00:00"/>
    <n v="1823.290039"/>
    <n v="277.60919200000001"/>
    <n v="7017.8901370000003"/>
    <n v="343.08999599999999"/>
    <x v="5"/>
    <s v="Aug"/>
    <x v="1"/>
    <n v="1.3415288010576369E-2"/>
    <n v="-4.1989853110748508E-2"/>
    <s v="Normal"/>
  </r>
  <r>
    <d v="2018-08-06T00:00:00"/>
    <n v="1847.75"/>
    <n v="278.24490400000002"/>
    <n v="6723.2099609999996"/>
    <n v="350.92001299999998"/>
    <x v="5"/>
    <s v="Aug"/>
    <x v="1"/>
    <n v="7.971846840752304E-3"/>
    <n v="-6.5175703799502341E-2"/>
    <s v="High Volatility"/>
  </r>
  <r>
    <d v="2018-08-07T00:00:00"/>
    <n v="1862.4799800000001"/>
    <n v="275.57308999999998"/>
    <n v="6285.0200199999999"/>
    <n v="351.82998700000002"/>
    <x v="5"/>
    <s v="Aug"/>
    <x v="1"/>
    <n v="1.290754276993617E-2"/>
    <n v="4.108502648810973E-2"/>
    <s v="Normal"/>
  </r>
  <r>
    <d v="2018-08-08T00:00:00"/>
    <n v="1886.5200199999999"/>
    <n v="284.97900399999997"/>
    <n v="6543.2402339999999"/>
    <n v="347.60998499999999"/>
    <x v="5"/>
    <s v="Aug"/>
    <x v="1"/>
    <n v="6.3609184491983288E-3"/>
    <n v="-5.9577527961508121E-2"/>
    <s v="High Volatility"/>
  </r>
  <r>
    <d v="2018-08-09T00:00:00"/>
    <n v="1898.5200199999999"/>
    <n v="289.47839399999998"/>
    <n v="6153.4101559999999"/>
    <n v="349.35998499999999"/>
    <x v="5"/>
    <s v="Aug"/>
    <x v="1"/>
    <n v="-6.4365773714622123E-3"/>
    <n v="1.4484632218623153E-2"/>
    <s v="Normal"/>
  </r>
  <r>
    <d v="2018-08-10T00:00:00"/>
    <n v="1886.3000489999999"/>
    <n v="289.33932499999997"/>
    <n v="6242.5400390000004"/>
    <n v="345.86999500000002"/>
    <x v="5"/>
    <s v="Aug"/>
    <x v="1"/>
    <n v="5.2483177346299859E-3"/>
    <n v="-6.8786008150104137E-3"/>
    <s v="Normal"/>
  </r>
  <r>
    <d v="2018-08-13T00:00:00"/>
    <n v="1896.1999510000001"/>
    <n v="286.64767499999999"/>
    <n v="6199.6000979999999"/>
    <n v="341.30999800000001"/>
    <x v="5"/>
    <s v="Aug"/>
    <x v="1"/>
    <n v="1.2366877758663108E-2"/>
    <n v="1.2036279085819253E-2"/>
    <s v="Normal"/>
  </r>
  <r>
    <d v="2018-08-14T00:00:00"/>
    <n v="1919.650024"/>
    <n v="285.56503300000003"/>
    <n v="6274.2202150000003"/>
    <n v="337.48998999999998"/>
    <x v="5"/>
    <s v="Aug"/>
    <x v="1"/>
    <n v="-1.9289989600729435E-2"/>
    <n v="7.9037461709494817E-3"/>
    <s v="Normal"/>
  </r>
  <r>
    <d v="2018-08-15T00:00:00"/>
    <n v="1882.619995"/>
    <n v="282.26745599999998"/>
    <n v="6323.8100590000004"/>
    <n v="326.39999399999999"/>
    <x v="5"/>
    <s v="Aug"/>
    <x v="1"/>
    <n v="2.0715943793000635E-3"/>
    <n v="4.2276743688642079E-2"/>
    <s v="Normal"/>
  </r>
  <r>
    <d v="2018-08-16T00:00:00"/>
    <n v="1886.5200199999999"/>
    <n v="285.77362099999999"/>
    <n v="6591.1601559999999"/>
    <n v="322.44000199999999"/>
    <x v="5"/>
    <s v="Aug"/>
    <x v="1"/>
    <n v="-2.2793550847130394E-3"/>
    <n v="-2.8136199183566062E-2"/>
    <s v="Normal"/>
  </r>
  <r>
    <d v="2018-08-17T00:00:00"/>
    <n v="1882.219971"/>
    <n v="283.11172499999998"/>
    <n v="6405.7099609999996"/>
    <n v="316.77999899999998"/>
    <x v="5"/>
    <s v="Aug"/>
    <x v="1"/>
    <n v="-2.9273996051973491E-3"/>
    <n v="1.3331840267502258E-2"/>
    <s v="Normal"/>
  </r>
  <r>
    <d v="2018-08-20T00:00:00"/>
    <n v="1876.709961"/>
    <n v="282.823669"/>
    <n v="6491.1098629999997"/>
    <n v="327.73001099999999"/>
    <x v="5"/>
    <s v="Aug"/>
    <x v="1"/>
    <n v="3.5754501971228896E-3"/>
    <n v="-1.9254023216029502E-2"/>
    <s v="Normal"/>
  </r>
  <r>
    <d v="2018-08-21T00:00:00"/>
    <n v="1883.420044"/>
    <n v="285.42596400000002"/>
    <n v="6366.1298829999996"/>
    <n v="338.01998900000001"/>
    <x v="5"/>
    <s v="Aug"/>
    <x v="1"/>
    <n v="1.1404774027136811E-2"/>
    <n v="2.714684041579124E-2"/>
    <s v="Normal"/>
  </r>
  <r>
    <d v="2018-08-22T00:00:00"/>
    <n v="1904.900024"/>
    <n v="289.56774899999999"/>
    <n v="6538.9501950000003"/>
    <n v="344.44000199999999"/>
    <x v="5"/>
    <s v="Aug"/>
    <x v="1"/>
    <n v="-1.0499238672905806E-3"/>
    <n v="2.5999550528767901E-2"/>
    <s v="Normal"/>
  </r>
  <r>
    <d v="2018-08-23T00:00:00"/>
    <n v="1902.900024"/>
    <n v="287.44223"/>
    <n v="6708.9599609999996"/>
    <n v="339.17001299999998"/>
    <x v="5"/>
    <s v="Aug"/>
    <x v="1"/>
    <n v="1.3085243410559326E-3"/>
    <n v="6.0516232375828899E-3"/>
    <s v="Normal"/>
  </r>
  <r>
    <d v="2018-08-24T00:00:00"/>
    <n v="1905.3900149999999"/>
    <n v="295.93441799999999"/>
    <n v="6749.5600590000004"/>
    <n v="358.82000699999998"/>
    <x v="5"/>
    <s v="Aug"/>
    <x v="1"/>
    <n v="1.1698412831243886E-2"/>
    <n v="5.0643274674504121E-2"/>
    <s v="High Volatility"/>
  </r>
  <r>
    <d v="2018-08-27T00:00:00"/>
    <n v="1927.6800539999999"/>
    <n v="295.87481700000001"/>
    <n v="7091.3798829999996"/>
    <n v="364.57998700000002"/>
    <x v="5"/>
    <s v="Aug"/>
    <x v="1"/>
    <n v="2.6663615620936159E-3"/>
    <n v="-5.5532045454798002E-3"/>
    <s v="Normal"/>
  </r>
  <r>
    <d v="2018-08-28T00:00:00"/>
    <n v="1932.8199460000001"/>
    <n v="297.404358"/>
    <n v="7052"/>
    <n v="368.48998999999998"/>
    <x v="5"/>
    <s v="Aug"/>
    <x v="1"/>
    <n v="3.3774501414421919E-2"/>
    <n v="-7.5496644923425801E-3"/>
    <s v="Normal"/>
  </r>
  <r>
    <d v="2018-08-29T00:00:00"/>
    <n v="1998.099976"/>
    <n v="298.60623199999998"/>
    <n v="6998.7597660000001"/>
    <n v="368.040009"/>
    <x v="5"/>
    <s v="Aug"/>
    <x v="1"/>
    <n v="2.1420494727036688E-3"/>
    <n v="4.0293131844582079E-3"/>
    <s v="Normal"/>
  </r>
  <r>
    <d v="2018-08-30T00:00:00"/>
    <n v="2002.380005"/>
    <n v="298.635986"/>
    <n v="7026.9599609999996"/>
    <n v="370.98001099999999"/>
    <x v="5"/>
    <s v="Aug"/>
    <x v="1"/>
    <n v="5.1588389687301332E-3"/>
    <n v="2.5117547414470035E-2"/>
    <s v="Normal"/>
  </r>
  <r>
    <d v="2018-08-31T00:00:00"/>
    <n v="2012.709961"/>
    <n v="296.54028299999999"/>
    <n v="7203.4599609999996"/>
    <n v="367.67999300000002"/>
    <x v="5"/>
    <s v="Aug"/>
    <x v="1"/>
    <n v="1.3315405358596495E-2"/>
    <n v="-6.9193162549460008E-2"/>
    <s v="High Volatility"/>
  </r>
  <r>
    <d v="2018-09-04T00:00:00"/>
    <n v="2039.51001"/>
    <n v="294.59353599999997"/>
    <n v="6705.0297849999997"/>
    <n v="363.60000600000001"/>
    <x v="5"/>
    <s v="Sep"/>
    <x v="1"/>
    <n v="-2.191215722446976E-2"/>
    <n v="-2.8278750293426129E-2"/>
    <s v="Normal"/>
  </r>
  <r>
    <d v="2018-09-05T00:00:00"/>
    <n v="1994.8199460000001"/>
    <n v="287.84945699999997"/>
    <n v="6515.419922"/>
    <n v="341.17999300000002"/>
    <x v="5"/>
    <s v="Sep"/>
    <x v="1"/>
    <n v="-1.8302347073082734E-2"/>
    <n v="-1.5906900589791384E-2"/>
    <s v="Normal"/>
  </r>
  <r>
    <d v="2018-09-06T00:00:00"/>
    <n v="1958.3100589999999"/>
    <n v="288.56460600000003"/>
    <n v="6411.7797849999997"/>
    <n v="346.459991"/>
    <x v="5"/>
    <s v="Sep"/>
    <x v="1"/>
    <n v="-3.1864785514027927E-3"/>
    <n v="-3.3004818645685885E-2"/>
    <s v="Normal"/>
  </r>
  <r>
    <d v="2018-09-07T00:00:00"/>
    <n v="1952.0699460000001"/>
    <n v="292.08065800000003"/>
    <n v="6200.1601559999999"/>
    <n v="348.67999300000002"/>
    <x v="5"/>
    <s v="Sep"/>
    <x v="1"/>
    <n v="-6.6903012500967559E-3"/>
    <n v="1.5383454717326906E-2"/>
    <s v="Normal"/>
  </r>
  <r>
    <d v="2018-09-10T00:00:00"/>
    <n v="1939.01001"/>
    <n v="291.79260299999999"/>
    <n v="6295.5400390000004"/>
    <n v="348.41000400000001"/>
    <x v="5"/>
    <s v="Sep"/>
    <x v="1"/>
    <n v="2.4827109582585428E-2"/>
    <n v="6.6030592677482677E-3"/>
    <s v="Normal"/>
  </r>
  <r>
    <d v="2018-09-11T00:00:00"/>
    <n v="1987.150024"/>
    <n v="284.68103000000002"/>
    <n v="6337.1098629999997"/>
    <n v="355.92999300000002"/>
    <x v="5"/>
    <s v="Sep"/>
    <x v="1"/>
    <n v="1.4342027353642674E-3"/>
    <n v="2.4441762940602553E-2"/>
    <s v="Normal"/>
  </r>
  <r>
    <d v="2018-09-12T00:00:00"/>
    <n v="1990"/>
    <n v="283.31036399999999"/>
    <n v="6492"/>
    <n v="369.95001200000002"/>
    <x v="5"/>
    <s v="Sep"/>
    <x v="1"/>
    <n v="-6.5329145728634588E-5"/>
    <n v="-9.2271010474428115E-4"/>
    <s v="Normal"/>
  </r>
  <r>
    <d v="2018-09-13T00:00:00"/>
    <n v="1989.869995"/>
    <n v="283.459656"/>
    <n v="6486.0097660000001"/>
    <n v="368.14999399999999"/>
    <x v="5"/>
    <s v="Sep"/>
    <x v="1"/>
    <n v="-9.8901204849816977E-3"/>
    <n v="5.5612484873338117E-3"/>
    <s v="Normal"/>
  </r>
  <r>
    <d v="2018-09-14T00:00:00"/>
    <n v="1970.1899410000001"/>
    <n v="278.69284099999999"/>
    <n v="6522.080078"/>
    <n v="364.55999800000001"/>
    <x v="5"/>
    <s v="Sep"/>
    <x v="1"/>
    <n v="-3.1550212853309903E-2"/>
    <n v="-2.6930079805745116E-2"/>
    <s v="Normal"/>
  </r>
  <r>
    <d v="2018-09-17T00:00:00"/>
    <n v="1908.030029"/>
    <n v="273.26925699999998"/>
    <n v="6346.4399409999996"/>
    <n v="350.35000600000001"/>
    <x v="5"/>
    <s v="Sep"/>
    <x v="1"/>
    <n v="1.7305817779663432E-2"/>
    <n v="8.2502733007428011E-3"/>
    <s v="Normal"/>
  </r>
  <r>
    <d v="2018-09-18T00:00:00"/>
    <n v="1941.0500489999999"/>
    <n v="280.44433600000002"/>
    <n v="6398.7998049999997"/>
    <n v="367.64999399999999"/>
    <x v="5"/>
    <s v="Sep"/>
    <x v="1"/>
    <n v="-7.5371601095691187E-3"/>
    <n v="1.6737528952900326E-2"/>
    <s v="Normal"/>
  </r>
  <r>
    <d v="2018-09-19T00:00:00"/>
    <n v="1926.420044"/>
    <n v="278.11569200000002"/>
    <n v="6505.8999020000001"/>
    <n v="366.959991"/>
    <x v="5"/>
    <s v="Sep"/>
    <x v="1"/>
    <n v="9.2814674845648482E-3"/>
    <n v="3.9373516478673952E-2"/>
    <s v="Normal"/>
  </r>
  <r>
    <d v="2018-09-20T00:00:00"/>
    <n v="1944.3000489999999"/>
    <n v="281.339966"/>
    <n v="6762.0600590000004"/>
    <n v="365.35998499999999"/>
    <x v="5"/>
    <s v="Sep"/>
    <x v="1"/>
    <n v="-1.5064567331088916E-2"/>
    <n v="-6.7227975799320642E-3"/>
    <s v="Normal"/>
  </r>
  <r>
    <d v="2018-09-21T00:00:00"/>
    <n v="1915.01001"/>
    <n v="284.83297700000003"/>
    <n v="6716.6000979999999"/>
    <n v="361.19000199999999"/>
    <x v="5"/>
    <s v="Sep"/>
    <x v="1"/>
    <n v="1.0104372770354388E-2"/>
    <n v="-4.1518009101514923E-2"/>
    <s v="Normal"/>
  </r>
  <r>
    <d v="2018-09-24T00:00:00"/>
    <n v="1934.3599850000001"/>
    <n v="287.58950800000002"/>
    <n v="6437.7402339999999"/>
    <n v="369.60998499999999"/>
    <x v="5"/>
    <s v="Sep"/>
    <x v="1"/>
    <n v="2.0776931032307253E-2"/>
    <n v="3.8615823404470743E-3"/>
    <s v="Normal"/>
  </r>
  <r>
    <d v="2018-09-25T00:00:00"/>
    <n v="1974.5500489999999"/>
    <n v="289.38082900000001"/>
    <n v="6462.6000979999999"/>
    <n v="369.42999300000002"/>
    <x v="5"/>
    <s v="Sep"/>
    <x v="1"/>
    <n v="1.518963776845877E-4"/>
    <n v="3.4588212423847201E-2"/>
    <s v="Normal"/>
  </r>
  <r>
    <d v="2018-09-26T00:00:00"/>
    <n v="1974.849976"/>
    <n v="287.77862499999998"/>
    <n v="6686.1298829999996"/>
    <n v="377.88000499999998"/>
    <x v="5"/>
    <s v="Sep"/>
    <x v="1"/>
    <n v="1.93077977888889E-2"/>
    <n v="-7.590340135185795E-3"/>
    <s v="Normal"/>
  </r>
  <r>
    <d v="2018-09-27T00:00:00"/>
    <n v="2012.9799800000001"/>
    <n v="292.02792399999998"/>
    <n v="6635.3798829999996"/>
    <n v="380.709991"/>
    <x v="5"/>
    <s v="Sep"/>
    <x v="1"/>
    <n v="-4.9578138377710385E-3"/>
    <n v="-4.7668533765543881E-3"/>
    <s v="Normal"/>
  </r>
  <r>
    <d v="2018-09-28T00:00:00"/>
    <n v="2003"/>
    <n v="293.37136800000002"/>
    <n v="6603.75"/>
    <n v="374.13000499999998"/>
    <x v="5"/>
    <s v="Sep"/>
    <x v="1"/>
    <n v="6.7897403894161333E-4"/>
    <n v="-1.1853838349422633E-2"/>
    <s v="Normal"/>
  </r>
  <r>
    <d v="2018-10-01T00:00:00"/>
    <n v="2004.3599850000001"/>
    <n v="284.13635299999999"/>
    <n v="6525.4702150000003"/>
    <n v="381.42999300000002"/>
    <x v="5"/>
    <s v="Oct"/>
    <x v="2"/>
    <n v="-1.6489017066462809E-2"/>
    <n v="-5.0893572272630704E-3"/>
    <s v="Normal"/>
  </r>
  <r>
    <d v="2018-10-02T00:00:00"/>
    <n v="1971.3100589999999"/>
    <n v="280.91207900000001"/>
    <n v="6492.2597660000001"/>
    <n v="377.14001500000001"/>
    <x v="5"/>
    <s v="Oct"/>
    <x v="2"/>
    <n v="-9.410010827728417E-3"/>
    <n v="1.3482250580667893E-2"/>
    <s v="Normal"/>
  </r>
  <r>
    <d v="2018-10-03T00:00:00"/>
    <n v="1952.76001"/>
    <n v="284.61404399999998"/>
    <n v="6579.7900390000004"/>
    <n v="377.04998799999998"/>
    <x v="5"/>
    <s v="Oct"/>
    <x v="2"/>
    <n v="-2.2194210132355181E-2"/>
    <n v="8.0671385690700686E-3"/>
    <s v="Normal"/>
  </r>
  <r>
    <d v="2018-10-04T00:00:00"/>
    <n v="1909.420044"/>
    <n v="280.40451000000002"/>
    <n v="6632.8701170000004"/>
    <n v="363.64999399999999"/>
    <x v="5"/>
    <s v="Oct"/>
    <x v="2"/>
    <n v="-1.0353939701284466E-2"/>
    <n v="-6.4723378029023981E-3"/>
    <s v="Normal"/>
  </r>
  <r>
    <d v="2018-10-05T00:00:00"/>
    <n v="1889.650024"/>
    <n v="281.53900099999998"/>
    <n v="6589.9399409999996"/>
    <n v="351.35000600000001"/>
    <x v="5"/>
    <s v="Oct"/>
    <x v="2"/>
    <n v="-1.3351668128785771E-2"/>
    <n v="6.3506038559814548E-3"/>
    <s v="Normal"/>
  </r>
  <r>
    <d v="2018-10-08T00:00:00"/>
    <n v="1864.420044"/>
    <n v="278.88192700000002"/>
    <n v="6631.7900390000004"/>
    <n v="349.10000600000001"/>
    <x v="5"/>
    <s v="Oct"/>
    <x v="2"/>
    <n v="3.1644703772558836E-3"/>
    <n v="-7.6480429419095901E-3"/>
    <s v="Normal"/>
  </r>
  <r>
    <d v="2018-10-09T00:00:00"/>
    <n v="1870.3199460000001"/>
    <n v="282.80285600000002"/>
    <n v="6581.0698240000002"/>
    <n v="355.709991"/>
    <x v="5"/>
    <s v="Oct"/>
    <x v="2"/>
    <n v="-6.1524204051877265E-2"/>
    <n v="-5.6464924235394322E-2"/>
    <s v="High Volatility"/>
  </r>
  <r>
    <d v="2018-10-10T00:00:00"/>
    <n v="1755.25"/>
    <n v="273.587738"/>
    <n v="6209.4702150000003"/>
    <n v="325.89001500000001"/>
    <x v="5"/>
    <s v="Oct"/>
    <x v="2"/>
    <n v="-2.0447238285144536E-2"/>
    <n v="6.6639957302701402E-3"/>
    <s v="Normal"/>
  </r>
  <r>
    <d v="2018-10-11T00:00:00"/>
    <n v="1719.3599850000001"/>
    <n v="269.56729100000001"/>
    <n v="6250.8500979999999"/>
    <n v="321.10000600000001"/>
    <x v="5"/>
    <s v="Oct"/>
    <x v="2"/>
    <n v="4.0276614905633036E-2"/>
    <n v="2.6268302299000423E-3"/>
    <s v="Normal"/>
  </r>
  <r>
    <d v="2018-10-12T00:00:00"/>
    <n v="1788.6099850000001"/>
    <n v="275.99600199999998"/>
    <n v="6267.2700199999999"/>
    <n v="339.55999800000001"/>
    <x v="5"/>
    <s v="Oct"/>
    <x v="2"/>
    <n v="-1.5464541868807691E-2"/>
    <n v="5.0385540114322329E-2"/>
    <s v="High Volatility"/>
  </r>
  <r>
    <d v="2018-10-15T00:00:00"/>
    <n v="1760.9499510000001"/>
    <n v="271.61734000000001"/>
    <n v="6583.0498049999997"/>
    <n v="333.13000499999998"/>
    <x v="5"/>
    <s v="Oct"/>
    <x v="2"/>
    <n v="3.3510327744686687E-2"/>
    <n v="-1.2957193478197785E-3"/>
    <s v="Normal"/>
  </r>
  <r>
    <d v="2018-10-16T00:00:00"/>
    <n v="1819.959961"/>
    <n v="258.371826"/>
    <n v="6574.5200199999999"/>
    <n v="346.39999399999999"/>
    <x v="5"/>
    <s v="Oct"/>
    <x v="2"/>
    <n v="6.4671856811250187E-3"/>
    <n v="-1.3050352685670223E-2"/>
    <s v="Normal"/>
  </r>
  <r>
    <d v="2018-10-17T00:00:00"/>
    <n v="1831.7299800000001"/>
    <n v="266.39276100000001"/>
    <n v="6488.7202150000003"/>
    <n v="364.70001200000002"/>
    <x v="5"/>
    <s v="Oct"/>
    <x v="2"/>
    <n v="-3.3307315852307055E-2"/>
    <n v="-2.9960345577946237E-3"/>
    <s v="Normal"/>
  </r>
  <r>
    <d v="2018-10-18T00:00:00"/>
    <n v="1770.719971"/>
    <n v="265.089111"/>
    <n v="6469.2797849999997"/>
    <n v="346.709991"/>
    <x v="5"/>
    <s v="Oct"/>
    <x v="2"/>
    <n v="-3.7780914597252114E-3"/>
    <n v="3.2894347913877782E-3"/>
    <s v="Normal"/>
  </r>
  <r>
    <d v="2018-10-19T00:00:00"/>
    <n v="1764.030029"/>
    <n v="266.45248400000003"/>
    <n v="6490.5600590000004"/>
    <n v="332.67001299999998"/>
    <x v="5"/>
    <s v="Oct"/>
    <x v="2"/>
    <n v="1.4325164302517625E-2"/>
    <n v="-3.133757921521158E-3"/>
    <s v="Normal"/>
  </r>
  <r>
    <d v="2018-10-22T00:00:00"/>
    <n v="1789.3000489999999"/>
    <n v="266.45248400000003"/>
    <n v="6470.2202150000003"/>
    <n v="329.540009"/>
    <x v="5"/>
    <s v="Oct"/>
    <x v="2"/>
    <n v="-1.1512936587417423E-2"/>
    <n v="9.3192886789552948E-4"/>
    <s v="Normal"/>
  </r>
  <r>
    <d v="2018-10-23T00:00:00"/>
    <n v="1768.6999510000001"/>
    <n v="264.53185999999999"/>
    <n v="6476.25"/>
    <n v="333.16000400000001"/>
    <x v="5"/>
    <s v="Oct"/>
    <x v="2"/>
    <n v="-5.9082943910818253E-2"/>
    <n v="-2.0814483690407364E-3"/>
    <s v="Normal"/>
  </r>
  <r>
    <d v="2018-10-24T00:00:00"/>
    <n v="1664.1999510000001"/>
    <n v="254.251892"/>
    <n v="6462.7700199999999"/>
    <n v="301.82998700000002"/>
    <x v="5"/>
    <s v="Oct"/>
    <x v="2"/>
    <n v="7.0886970600565716E-2"/>
    <n v="-8.603213456140228E-4"/>
    <s v="Normal"/>
  </r>
  <r>
    <d v="2018-10-25T00:00:00"/>
    <n v="1782.170044"/>
    <n v="260.50143400000002"/>
    <n v="6457.2099609999996"/>
    <n v="312.86999500000002"/>
    <x v="5"/>
    <s v="Oct"/>
    <x v="2"/>
    <n v="-7.8196794671294589E-2"/>
    <n v="2.0070527485207285E-3"/>
    <s v="Normal"/>
  </r>
  <r>
    <d v="2018-10-26T00:00:00"/>
    <n v="1642.8100589999999"/>
    <n v="259.97399899999999"/>
    <n v="6470.169922"/>
    <n v="299.82998700000002"/>
    <x v="5"/>
    <s v="Oct"/>
    <x v="2"/>
    <n v="-6.3263585117845897E-2"/>
    <n v="-2.4150797874516801E-2"/>
    <s v="Normal"/>
  </r>
  <r>
    <d v="2018-10-29T00:00:00"/>
    <n v="1538.880005"/>
    <n v="255.24702500000001"/>
    <n v="6313.9101559999999"/>
    <n v="284.83999599999999"/>
    <x v="5"/>
    <s v="Oct"/>
    <x v="2"/>
    <n v="-5.4974793177587754E-3"/>
    <n v="-7.6027261734768305E-4"/>
    <s v="Normal"/>
  </r>
  <r>
    <d v="2018-10-30T00:00:00"/>
    <n v="1530.420044"/>
    <n v="264.93984999999998"/>
    <n v="6309.1098629999997"/>
    <n v="285.80999800000001"/>
    <x v="5"/>
    <s v="Oct"/>
    <x v="2"/>
    <n v="4.4164323556128232E-2"/>
    <n v="5.3097823191290338E-3"/>
    <s v="Normal"/>
  </r>
  <r>
    <d v="2018-10-31T00:00:00"/>
    <n v="1598.01001"/>
    <n v="267.48745700000001"/>
    <n v="6342.6098629999997"/>
    <n v="301.77999899999998"/>
    <x v="5"/>
    <s v="Oct"/>
    <x v="2"/>
    <n v="4.2252563236446841E-2"/>
    <n v="6.1000034426995269E-3"/>
    <s v="Normal"/>
  </r>
  <r>
    <d v="2018-11-01T00:00:00"/>
    <n v="1665.530029"/>
    <n v="264.76071200000001"/>
    <n v="6381.2998049999997"/>
    <n v="317.38000499999998"/>
    <x v="5"/>
    <s v="Nov"/>
    <x v="2"/>
    <n v="0"/>
    <n v="2.0936723564581473E-3"/>
    <s v="Normal"/>
  </r>
  <r>
    <d v="2018-11-02T00:00:00"/>
    <n v="1665.530029"/>
    <n v="264.014343"/>
    <n v="6394.6601559999999"/>
    <n v="309.10000600000001"/>
    <x v="5"/>
    <s v="Nov"/>
    <x v="2"/>
    <n v="-2.2653437250034755E-2"/>
    <n v="6.1113612055414381E-3"/>
    <s v="Normal"/>
  </r>
  <r>
    <d v="2018-11-05T00:00:00"/>
    <n v="1627.8000489999999"/>
    <n v="258.99877900000001"/>
    <n v="6433.7402339999999"/>
    <n v="315.44000199999999"/>
    <x v="5"/>
    <s v="Nov"/>
    <x v="2"/>
    <n v="9.2210403908152029E-3"/>
    <n v="7.1466952857395091E-3"/>
    <s v="Normal"/>
  </r>
  <r>
    <d v="2018-11-06T00:00:00"/>
    <n v="1642.8100589999999"/>
    <n v="262.28277600000001"/>
    <n v="6479.7202150000003"/>
    <n v="310.83999599999999"/>
    <x v="5"/>
    <s v="Nov"/>
    <x v="2"/>
    <n v="6.858974985129436E-2"/>
    <n v="7.7102034258125082E-3"/>
    <s v="Normal"/>
  </r>
  <r>
    <d v="2018-11-07T00:00:00"/>
    <n v="1755.48999"/>
    <n v="270.154449"/>
    <n v="6529.6801759999998"/>
    <n v="327.5"/>
    <x v="5"/>
    <s v="Nov"/>
    <x v="2"/>
    <n v="-3.3036702191622201E-4"/>
    <n v="-1.2806158149574811E-2"/>
    <s v="Normal"/>
  </r>
  <r>
    <d v="2018-11-08T00:00:00"/>
    <n v="1754.910034"/>
    <n v="271.82629400000002"/>
    <n v="6446.0600590000004"/>
    <n v="317.92001299999998"/>
    <x v="5"/>
    <s v="Nov"/>
    <x v="2"/>
    <n v="-2.4206357691838275E-2"/>
    <n v="-1.0559911694425075E-2"/>
    <s v="Normal"/>
  </r>
  <r>
    <d v="2018-11-09T00:00:00"/>
    <n v="1712.4300539999999"/>
    <n v="273.02047700000003"/>
    <n v="6377.9902339999999"/>
    <n v="303.47000100000002"/>
    <x v="5"/>
    <s v="Nov"/>
    <x v="2"/>
    <n v="-4.4136154830648609E-2"/>
    <n v="-4.56281037322127E-4"/>
    <s v="Normal"/>
  </r>
  <r>
    <d v="2018-11-12T00:00:00"/>
    <n v="1636.849976"/>
    <n v="267.78598"/>
    <n v="6375.080078"/>
    <n v="294.07000699999998"/>
    <x v="5"/>
    <s v="Nov"/>
    <x v="2"/>
    <n v="-3.4700382339743568E-3"/>
    <n v="-5.632894890830251E-3"/>
    <s v="Normal"/>
  </r>
  <r>
    <d v="2018-11-13T00:00:00"/>
    <n v="1631.170044"/>
    <n v="263.42718500000001"/>
    <n v="6339.169922"/>
    <n v="294.39999399999999"/>
    <x v="5"/>
    <s v="Nov"/>
    <x v="2"/>
    <n v="-1.9715929751343567E-2"/>
    <n v="-9.4286746428060134E-2"/>
    <s v="High Volatility"/>
  </r>
  <r>
    <d v="2018-11-14T00:00:00"/>
    <n v="1599.01001"/>
    <n v="264.83038299999998"/>
    <n v="5741.4702150000003"/>
    <n v="286.73001099999999"/>
    <x v="5"/>
    <s v="Nov"/>
    <x v="2"/>
    <n v="1.277661232402174E-2"/>
    <n v="-1.6366925453082801E-2"/>
    <s v="Normal"/>
  </r>
  <r>
    <d v="2018-11-15T00:00:00"/>
    <n v="1619.4399410000001"/>
    <n v="258.36187699999999"/>
    <n v="5647.5"/>
    <n v="290.05999800000001"/>
    <x v="5"/>
    <s v="Nov"/>
    <x v="2"/>
    <n v="-1.6073400649811498E-2"/>
    <n v="-1.0841961930057559E-2"/>
    <s v="Normal"/>
  </r>
  <r>
    <d v="2018-11-16T00:00:00"/>
    <n v="1593.410034"/>
    <n v="263.33764600000001"/>
    <n v="5586.2700199999999"/>
    <n v="286.209991"/>
    <x v="5"/>
    <s v="Nov"/>
    <x v="2"/>
    <n v="-5.0909680037825103E-2"/>
    <n v="-0.13902834990421739"/>
    <s v="High Volatility"/>
  </r>
  <r>
    <d v="2018-11-19T00:00:00"/>
    <n v="1512.290039"/>
    <n v="250.848465"/>
    <n v="4809.6201170000004"/>
    <n v="270.60000600000001"/>
    <x v="5"/>
    <s v="Nov"/>
    <x v="2"/>
    <n v="-1.1128869175868425E-2"/>
    <n v="-7.6473827257155916E-2"/>
    <s v="High Volatility"/>
  </r>
  <r>
    <d v="2018-11-20T00:00:00"/>
    <n v="1495.459961"/>
    <n v="253.98318499999999"/>
    <n v="4441.8100590000004"/>
    <n v="266.98001099999999"/>
    <x v="5"/>
    <s v="Nov"/>
    <x v="2"/>
    <n v="1.4223061502614209E-2"/>
    <n v="3.4046926363629104E-2"/>
    <s v="Normal"/>
  </r>
  <r>
    <d v="2018-11-21T00:00:00"/>
    <n v="1516.7299800000001"/>
    <n v="258.33200099999999"/>
    <n v="4593.0400390000004"/>
    <n v="262.13000499999998"/>
    <x v="5"/>
    <s v="Nov"/>
    <x v="2"/>
    <n v="-9.6720716234541346E-3"/>
    <n v="-5.434747245407158E-2"/>
    <s v="High Volatility"/>
  </r>
  <r>
    <d v="2018-11-23T00:00:00"/>
    <n v="1502.0600589999999"/>
    <n v="261.227936"/>
    <n v="4343.419922"/>
    <n v="258.82000699999998"/>
    <x v="5"/>
    <s v="Nov"/>
    <x v="2"/>
    <n v="5.2774119466816961E-2"/>
    <n v="-0.12866124943836368"/>
    <s v="High Volatility"/>
  </r>
  <r>
    <d v="2018-11-26T00:00:00"/>
    <n v="1581.329956"/>
    <n v="265.06921399999999"/>
    <n v="3784.5900879999999"/>
    <n v="261.42999300000002"/>
    <x v="5"/>
    <s v="Nov"/>
    <x v="2"/>
    <n v="5.6969767541621999E-5"/>
    <n v="1.0146383388192215E-2"/>
    <s v="Normal"/>
  </r>
  <r>
    <d v="2018-11-27T00:00:00"/>
    <n v="1581.420044"/>
    <n v="267.27844199999998"/>
    <n v="3822.98999"/>
    <n v="266.63000499999998"/>
    <x v="5"/>
    <s v="Nov"/>
    <x v="2"/>
    <n v="6.0913579769955185E-2"/>
    <n v="0.11523959417952848"/>
    <s v="High Volatility"/>
  </r>
  <r>
    <d v="2018-11-28T00:00:00"/>
    <n v="1677.75"/>
    <n v="272.47314499999999"/>
    <n v="4263.5498049999997"/>
    <n v="282.64999399999999"/>
    <x v="5"/>
    <s v="Nov"/>
    <x v="2"/>
    <n v="-2.4914641633139189E-3"/>
    <n v="5.427434194122188E-3"/>
    <s v="Normal"/>
  </r>
  <r>
    <d v="2018-11-29T00:00:00"/>
    <n v="1673.5699460000001"/>
    <n v="278.82223499999998"/>
    <n v="4286.6899409999996"/>
    <n v="288.75"/>
    <x v="5"/>
    <s v="Nov"/>
    <x v="2"/>
    <n v="9.9189747280511269E-3"/>
    <n v="-6.4623292753330397E-2"/>
    <s v="High Volatility"/>
  </r>
  <r>
    <d v="2018-11-30T00:00:00"/>
    <n v="1690.170044"/>
    <n v="275.97610500000002"/>
    <n v="4009.669922"/>
    <n v="286.13000499999998"/>
    <x v="5"/>
    <s v="Nov"/>
    <x v="2"/>
    <n v="4.8628208322452134E-2"/>
    <n v="-3.4481643798509147E-2"/>
    <s v="Normal"/>
  </r>
  <r>
    <d v="2018-12-03T00:00:00"/>
    <n v="1772.3599850000001"/>
    <n v="275.02075200000002"/>
    <n v="3871.4099120000001"/>
    <n v="290.29998799999998"/>
    <x v="5"/>
    <s v="Dec"/>
    <x v="2"/>
    <n v="-5.8656233428786203E-2"/>
    <n v="1.9897151361118904E-2"/>
    <s v="Normal"/>
  </r>
  <r>
    <d v="2018-12-04T00:00:00"/>
    <n v="1668.400024"/>
    <n v="264.73083500000001"/>
    <n v="3948.4399410000001"/>
    <n v="275.32998700000002"/>
    <x v="5"/>
    <s v="Dec"/>
    <x v="2"/>
    <n v="1.8454756986985069E-2"/>
    <n v="-0.11732735356807092"/>
    <s v="High Volatility"/>
  </r>
  <r>
    <d v="2018-12-06T00:00:00"/>
    <n v="1699.1899410000001"/>
    <n v="265.10900900000001"/>
    <n v="3485.179932"/>
    <n v="282.88000499999998"/>
    <x v="5"/>
    <s v="Dec"/>
    <x v="2"/>
    <n v="-4.1231374026831122E-2"/>
    <n v="-1.8538458633590001E-2"/>
    <s v="Normal"/>
  </r>
  <r>
    <d v="2018-12-07T00:00:00"/>
    <n v="1629.130005"/>
    <n v="257.06817599999999"/>
    <n v="3420.570068"/>
    <n v="265.14001500000001"/>
    <x v="5"/>
    <s v="Dec"/>
    <x v="2"/>
    <n v="7.3045269336869346E-3"/>
    <n v="1.3620491050850208E-2"/>
    <s v="Normal"/>
  </r>
  <r>
    <d v="2018-12-10T00:00:00"/>
    <n v="1641.030029"/>
    <n v="253.973251"/>
    <n v="3467.1599120000001"/>
    <n v="269.70001200000002"/>
    <x v="5"/>
    <s v="Dec"/>
    <x v="2"/>
    <n v="1.3466913834274639E-3"/>
    <n v="-1.9076100808355256E-2"/>
    <s v="Normal"/>
  </r>
  <r>
    <d v="2018-12-11T00:00:00"/>
    <n v="1643.23999"/>
    <n v="250.77879300000001"/>
    <n v="3401.0200199999999"/>
    <n v="265.32000699999998"/>
    <x v="5"/>
    <s v="Dec"/>
    <x v="2"/>
    <n v="1.235367269755889E-2"/>
    <n v="2.486608943866199E-2"/>
    <s v="Normal"/>
  </r>
  <r>
    <d v="2018-12-12T00:00:00"/>
    <n v="1663.540039"/>
    <n v="248.470032"/>
    <n v="3485.5900879999999"/>
    <n v="274.88000499999998"/>
    <x v="5"/>
    <s v="Dec"/>
    <x v="2"/>
    <n v="-3.1018393780902534E-3"/>
    <n v="-5.1778888636775343E-2"/>
    <s v="High Volatility"/>
  </r>
  <r>
    <d v="2018-12-13T00:00:00"/>
    <n v="1658.380005"/>
    <n v="249.49731399999999"/>
    <n v="3305.110107"/>
    <n v="276.01998900000001"/>
    <x v="5"/>
    <s v="Dec"/>
    <x v="2"/>
    <n v="-4.008126653697805E-2"/>
    <n v="-2.1067415228475442E-2"/>
    <s v="Normal"/>
  </r>
  <r>
    <d v="2018-12-14T00:00:00"/>
    <n v="1591.910034"/>
    <n v="248.350357"/>
    <n v="3235.4799800000001"/>
    <n v="266.83999599999999"/>
    <x v="5"/>
    <s v="Dec"/>
    <x v="2"/>
    <n v="-4.4600510382862502E-2"/>
    <n v="9.6650253728350996E-2"/>
    <s v="High Volatility"/>
  </r>
  <r>
    <d v="2018-12-17T00:00:00"/>
    <n v="1520.910034"/>
    <n v="241.54843099999999"/>
    <n v="3548.1899410000001"/>
    <n v="262.79998799999998"/>
    <x v="5"/>
    <s v="Dec"/>
    <x v="2"/>
    <n v="2.0099772712788923E-2"/>
    <n v="4.7252306045585453E-2"/>
    <s v="Normal"/>
  </r>
  <r>
    <d v="2018-12-18T00:00:00"/>
    <n v="1551.4799800000001"/>
    <n v="244.001892"/>
    <n v="3715.8500979999999"/>
    <n v="270.94000199999999"/>
    <x v="5"/>
    <s v="Dec"/>
    <x v="2"/>
    <n v="-3.6352402046464068E-2"/>
    <n v="5.568023589308981E-3"/>
    <s v="Normal"/>
  </r>
  <r>
    <d v="2018-12-19T00:00:00"/>
    <n v="1495.079956"/>
    <n v="238.74586500000001"/>
    <n v="3736.540039"/>
    <n v="266.76998900000001"/>
    <x v="5"/>
    <s v="Dec"/>
    <x v="2"/>
    <n v="-2.2908473799377188E-2"/>
    <n v="0.1073506807938155"/>
    <s v="High Volatility"/>
  </r>
  <r>
    <d v="2018-12-20T00:00:00"/>
    <n v="1460.829956"/>
    <n v="234.766434"/>
    <n v="4137.6601559999999"/>
    <n v="260.57998700000002"/>
    <x v="5"/>
    <s v="Dec"/>
    <x v="2"/>
    <n v="-5.7077146219200327E-2"/>
    <n v="-5.7725885644243809E-2"/>
    <s v="High Volatility"/>
  </r>
  <r>
    <d v="2018-12-21T00:00:00"/>
    <n v="1377.4499510000001"/>
    <n v="238.85557600000001"/>
    <n v="3898.8100589999999"/>
    <n v="246.38999899999999"/>
    <x v="5"/>
    <s v="Dec"/>
    <x v="2"/>
    <n v="-2.4313035820783903E-2"/>
    <n v="4.6973278828303176E-2"/>
    <s v="Normal"/>
  </r>
  <r>
    <d v="2018-12-24T00:00:00"/>
    <n v="1343.959961"/>
    <n v="233.72920199999999"/>
    <n v="4081.9499510000001"/>
    <n v="233.88000500000001"/>
    <x v="5"/>
    <s v="Dec"/>
    <x v="2"/>
    <n v="9.4452265457036194E-2"/>
    <n v="-5.7122190325454097E-2"/>
    <s v="High Volatility"/>
  </r>
  <r>
    <d v="2018-12-26T00:00:00"/>
    <n v="1470.900024"/>
    <n v="248.25062600000001"/>
    <n v="3848.780029"/>
    <n v="253.66999799999999"/>
    <x v="5"/>
    <s v="Dec"/>
    <x v="2"/>
    <n v="-6.2954713773259695E-3"/>
    <n v="-5.2663425675866314E-2"/>
    <s v="High Volatility"/>
  </r>
  <r>
    <d v="2018-12-27T00:00:00"/>
    <n v="1461.6400149999999"/>
    <n v="247.81178299999999"/>
    <n v="3646.0900879999999"/>
    <n v="255.570007"/>
    <x v="5"/>
    <s v="Dec"/>
    <x v="2"/>
    <n v="1.1206593163775681E-2"/>
    <n v="8.2765376531201071E-2"/>
    <s v="High Volatility"/>
  </r>
  <r>
    <d v="2018-12-28T00:00:00"/>
    <n v="1478.0200199999999"/>
    <n v="249.287857"/>
    <n v="3947.860107"/>
    <n v="256.07998700000002"/>
    <x v="5"/>
    <s v="Dec"/>
    <x v="2"/>
    <n v="1.6204077533401785E-2"/>
    <n v="-5.077946243448285E-2"/>
    <s v="High Volatility"/>
  </r>
  <r>
    <d v="2018-12-31T00:00:00"/>
    <n v="1501.969971"/>
    <n v="247.33306899999999"/>
    <n v="3747.389893"/>
    <n v="267.66000400000001"/>
    <x v="5"/>
    <s v="Dec"/>
    <x v="2"/>
    <n v="2.4740863477622745E-2"/>
    <n v="5.7005041668878709E-2"/>
    <s v="High Volatility"/>
  </r>
  <r>
    <d v="2019-01-02T00:00:00"/>
    <n v="1539.130005"/>
    <n v="242.65548699999999"/>
    <n v="3961.01001"/>
    <n v="267.66000400000001"/>
    <x v="6"/>
    <s v="Jan"/>
    <x v="3"/>
    <n v="-2.5241516878881178E-2"/>
    <n v="-3.1595452342722048E-2"/>
    <s v="Normal"/>
  </r>
  <r>
    <d v="2019-01-03T00:00:00"/>
    <n v="1500.280029"/>
    <n v="239.05505400000001"/>
    <n v="3835.860107"/>
    <n v="271.20001200000002"/>
    <x v="6"/>
    <s v="Jan"/>
    <x v="3"/>
    <n v="5.0063977756248552E-2"/>
    <n v="9.9586405485146481E-3"/>
    <s v="Normal"/>
  </r>
  <r>
    <d v="2019-01-04T00:00:00"/>
    <n v="1575.3900149999999"/>
    <n v="242.95469700000001"/>
    <n v="3874.0600589999999"/>
    <n v="297.57000699999998"/>
    <x v="6"/>
    <s v="Jan"/>
    <x v="3"/>
    <n v="3.4353394705247016E-2"/>
    <n v="4.5518097374442436E-2"/>
    <s v="Normal"/>
  </r>
  <r>
    <d v="2019-01-07T00:00:00"/>
    <n v="1629.51001"/>
    <n v="245.777176"/>
    <n v="4050.3999020000001"/>
    <n v="315.33999599999999"/>
    <x v="6"/>
    <s v="Jan"/>
    <x v="3"/>
    <n v="1.6612322620835004E-2"/>
    <n v="-2.3824566051453828E-3"/>
    <s v="Normal"/>
  </r>
  <r>
    <d v="2019-01-08T00:00:00"/>
    <n v="1656.579956"/>
    <n v="241.568375"/>
    <n v="4040.75"/>
    <n v="320.26998900000001"/>
    <x v="6"/>
    <s v="Jan"/>
    <x v="3"/>
    <n v="1.7144285669480376E-3"/>
    <n v="1.8783859432035942E-3"/>
    <s v="Normal"/>
  </r>
  <r>
    <d v="2019-01-09T00:00:00"/>
    <n v="1659.420044"/>
    <n v="245.936768"/>
    <n v="4048.3400879999999"/>
    <n v="319.959991"/>
    <x v="6"/>
    <s v="Jan"/>
    <x v="3"/>
    <n v="-1.9284285564529285E-3"/>
    <n v="-9.3912610535599794E-2"/>
    <s v="High Volatility"/>
  </r>
  <r>
    <d v="2019-01-10T00:00:00"/>
    <n v="1656.219971"/>
    <n v="245.53782699999999"/>
    <n v="3668.1499020000001"/>
    <n v="324.66000400000001"/>
    <x v="6"/>
    <s v="Jan"/>
    <x v="3"/>
    <n v="-9.4552126373315393E-3"/>
    <n v="2.8626120198289119E-4"/>
    <s v="Normal"/>
  </r>
  <r>
    <d v="2019-01-11T00:00:00"/>
    <n v="1640.5600589999999"/>
    <n v="248.33041399999999"/>
    <n v="3669.1999510000001"/>
    <n v="337.58999599999999"/>
    <x v="6"/>
    <s v="Jan"/>
    <x v="3"/>
    <n v="-1.423300407193437E-2"/>
    <n v="9.457089137522464E-3"/>
    <s v="Normal"/>
  </r>
  <r>
    <d v="2019-01-14T00:00:00"/>
    <n v="1617.209961"/>
    <n v="243.523178"/>
    <n v="3703.8999020000001"/>
    <n v="332.94000199999999"/>
    <x v="6"/>
    <s v="Jan"/>
    <x v="3"/>
    <n v="3.5462369997113746E-2"/>
    <n v="-2.2316994029824101E-2"/>
    <s v="Normal"/>
  </r>
  <r>
    <d v="2019-01-15T00:00:00"/>
    <n v="1674.5600589999999"/>
    <n v="247.23332199999999"/>
    <n v="3621.23999"/>
    <n v="354.64001500000001"/>
    <x v="6"/>
    <s v="Jan"/>
    <x v="3"/>
    <n v="5.5059058350561694E-3"/>
    <n v="6.2823784291634313E-3"/>
    <s v="Normal"/>
  </r>
  <r>
    <d v="2019-01-16T00:00:00"/>
    <n v="1683.780029"/>
    <n v="246.196091"/>
    <n v="3643.98999"/>
    <n v="351.39001500000001"/>
    <x v="6"/>
    <s v="Jan"/>
    <x v="3"/>
    <n v="5.6063986016073441E-3"/>
    <n v="1.1336490800843256E-2"/>
    <s v="Normal"/>
  </r>
  <r>
    <d v="2019-01-17T00:00:00"/>
    <n v="1693.219971"/>
    <n v="258.25405899999998"/>
    <n v="3685.3000489999999"/>
    <n v="353.19000199999999"/>
    <x v="6"/>
    <s v="Jan"/>
    <x v="3"/>
    <n v="1.7599485306330992E-3"/>
    <n v="-1.0107725152557857E-2"/>
    <s v="Normal"/>
  </r>
  <r>
    <d v="2019-01-18T00:00:00"/>
    <n v="1696.1999510000001"/>
    <n v="266.751465"/>
    <n v="3648.0500489999999"/>
    <n v="339.10000600000001"/>
    <x v="6"/>
    <s v="Jan"/>
    <x v="3"/>
    <n v="-3.7749032454723899E-2"/>
    <n v="-1.2612220057839444E-2"/>
    <s v="Normal"/>
  </r>
  <r>
    <d v="2019-01-22T00:00:00"/>
    <n v="1632.170044"/>
    <n v="262.732147"/>
    <n v="3602.040039"/>
    <n v="325.16000400000001"/>
    <x v="6"/>
    <s v="Jan"/>
    <x v="3"/>
    <n v="4.8095331910159534E-3"/>
    <n v="-8.3258347145763172E-3"/>
    <s v="Normal"/>
  </r>
  <r>
    <d v="2019-01-23T00:00:00"/>
    <n v="1640.0200199999999"/>
    <n v="272.43637100000001"/>
    <n v="3572.0500489999999"/>
    <n v="321.98998999999998"/>
    <x v="6"/>
    <s v="Jan"/>
    <x v="3"/>
    <n v="9.0913731650666043E-3"/>
    <n v="7.410302385715533E-3"/>
    <s v="Normal"/>
  </r>
  <r>
    <d v="2019-01-24T00:00:00"/>
    <n v="1654.9300539999999"/>
    <n v="276.146545"/>
    <n v="3598.5200199999999"/>
    <n v="326.67001299999998"/>
    <x v="6"/>
    <s v="Jan"/>
    <x v="3"/>
    <n v="9.4504852106578191E-3"/>
    <n v="-4.3434875763175276E-3"/>
    <s v="Normal"/>
  </r>
  <r>
    <d v="2019-01-25T00:00:00"/>
    <n v="1670.5699460000001"/>
    <n v="283.40725700000002"/>
    <n v="3582.889893"/>
    <n v="338.04998799999998"/>
    <x v="6"/>
    <s v="Jan"/>
    <x v="3"/>
    <n v="-1.9562144690947362E-2"/>
    <n v="-3.6135626510027385E-2"/>
    <s v="Normal"/>
  </r>
  <r>
    <d v="2019-01-28T00:00:00"/>
    <n v="1637.8900149999999"/>
    <n v="279.04882800000001"/>
    <n v="3453.419922"/>
    <n v="335.66000400000001"/>
    <x v="6"/>
    <s v="Jan"/>
    <x v="3"/>
    <n v="-2.6869942179847752E-2"/>
    <n v="-1.0184084992372394E-2"/>
    <s v="Normal"/>
  </r>
  <r>
    <d v="2019-01-29T00:00:00"/>
    <n v="1593.880005"/>
    <n v="274.12191799999999"/>
    <n v="3418.25"/>
    <n v="328.89999399999999"/>
    <x v="6"/>
    <s v="Jan"/>
    <x v="3"/>
    <n v="4.8027485607362232E-2"/>
    <n v="1.4323107145469178E-2"/>
    <s v="Normal"/>
  </r>
  <r>
    <d v="2019-01-30T00:00:00"/>
    <n v="1670.4300539999999"/>
    <n v="276.32605000000001"/>
    <n v="3467.209961"/>
    <n v="340.66000400000001"/>
    <x v="6"/>
    <s v="Jan"/>
    <x v="3"/>
    <n v="2.8914665348807322E-2"/>
    <n v="-9.540834957240122E-3"/>
    <s v="Normal"/>
  </r>
  <r>
    <d v="2019-01-31T00:00:00"/>
    <n v="1718.7299800000001"/>
    <n v="282.97839399999998"/>
    <n v="3434.1298830000001"/>
    <n v="339.5"/>
    <x v="6"/>
    <s v="Jan"/>
    <x v="3"/>
    <n v="-5.381880869966555E-2"/>
    <n v="8.0078508783646956E-3"/>
    <s v="Normal"/>
  </r>
  <r>
    <d v="2019-02-01T00:00:00"/>
    <n v="1626.2299800000001"/>
    <n v="277.65252700000002"/>
    <n v="3461.6298830000001"/>
    <n v="339.85000600000001"/>
    <x v="6"/>
    <s v="Feb"/>
    <x v="3"/>
    <n v="4.3536763477942039E-3"/>
    <n v="-8.7790705613110826E-3"/>
    <s v="Normal"/>
  </r>
  <r>
    <d v="2019-02-04T00:00:00"/>
    <n v="1633.3100589999999"/>
    <n v="280.32543900000002"/>
    <n v="3431.23999"/>
    <n v="351.33999599999999"/>
    <x v="6"/>
    <s v="Feb"/>
    <x v="3"/>
    <n v="1.5612467369246761E-2"/>
    <n v="4.785419279285108E-3"/>
    <s v="Normal"/>
  </r>
  <r>
    <d v="2019-02-05T00:00:00"/>
    <n v="1658.8100589999999"/>
    <n v="288.52365099999997"/>
    <n v="3447.6599120000001"/>
    <n v="355.80999800000001"/>
    <x v="6"/>
    <s v="Feb"/>
    <x v="3"/>
    <n v="-1.1182744461522429E-2"/>
    <n v="-1.530603955927543E-2"/>
    <s v="Normal"/>
  </r>
  <r>
    <d v="2019-02-06T00:00:00"/>
    <n v="1640.26001"/>
    <n v="287.12738000000002"/>
    <n v="3394.889893"/>
    <n v="352.19000199999999"/>
    <x v="6"/>
    <s v="Feb"/>
    <x v="3"/>
    <n v="-1.5784092059892351E-2"/>
    <n v="-5.7615462110659011E-3"/>
    <s v="Normal"/>
  </r>
  <r>
    <d v="2019-02-07T00:00:00"/>
    <n v="1614.369995"/>
    <n v="288.12472500000001"/>
    <n v="3375.330078"/>
    <n v="344.709991"/>
    <x v="6"/>
    <s v="Feb"/>
    <x v="3"/>
    <n v="-1.6198284210553623E-2"/>
    <n v="8.4347291796923948E-2"/>
    <s v="High Volatility"/>
  </r>
  <r>
    <d v="2019-02-08T00:00:00"/>
    <n v="1588.219971"/>
    <n v="289.39135700000003"/>
    <n v="3660.030029"/>
    <n v="347.57000699999998"/>
    <x v="6"/>
    <s v="Feb"/>
    <x v="3"/>
    <n v="1.7504055173475797E-3"/>
    <n v="-1.3303153420657382E-2"/>
    <s v="Normal"/>
  </r>
  <r>
    <d v="2019-02-11T00:00:00"/>
    <n v="1591"/>
    <n v="294.07888800000001"/>
    <n v="3611.3400879999999"/>
    <n v="345.73001099999999"/>
    <x v="6"/>
    <s v="Feb"/>
    <x v="3"/>
    <n v="2.9547460716530461E-2"/>
    <n v="1.680767762684375E-3"/>
    <s v="Normal"/>
  </r>
  <r>
    <d v="2019-02-12T00:00:00"/>
    <n v="1638.01001"/>
    <n v="286.44915800000001"/>
    <n v="3617.4099120000001"/>
    <n v="359.97000100000002"/>
    <x v="6"/>
    <s v="Feb"/>
    <x v="3"/>
    <n v="1.2148826856070523E-3"/>
    <n v="-3.1900711505542367E-3"/>
    <s v="Normal"/>
  </r>
  <r>
    <d v="2019-02-13T00:00:00"/>
    <n v="1640"/>
    <n v="288.034943"/>
    <n v="3605.8701169999999"/>
    <n v="351.76998900000001"/>
    <x v="6"/>
    <s v="Feb"/>
    <x v="3"/>
    <n v="-1.0579253658536568E-2"/>
    <n v="-4.7561740837932546E-3"/>
    <s v="Normal"/>
  </r>
  <r>
    <d v="2019-02-14T00:00:00"/>
    <n v="1622.650024"/>
    <n v="286.41922"/>
    <n v="3588.719971"/>
    <n v="359.07000699999998"/>
    <x v="6"/>
    <s v="Feb"/>
    <x v="3"/>
    <n v="-9.0592997766473244E-3"/>
    <n v="1.3291700212181442E-3"/>
    <s v="Normal"/>
  </r>
  <r>
    <d v="2019-02-15T00:00:00"/>
    <n v="1607.9499510000001"/>
    <n v="280.90386999999998"/>
    <n v="3593.48999"/>
    <n v="356.86999500000002"/>
    <x v="6"/>
    <s v="Feb"/>
    <x v="3"/>
    <n v="1.2208094529181016E-2"/>
    <n v="9.2041441863039669E-2"/>
    <s v="High Volatility"/>
  </r>
  <r>
    <d v="2019-02-19T00:00:00"/>
    <n v="1627.579956"/>
    <n v="278.49032599999998"/>
    <n v="3924.23999"/>
    <n v="361.92001299999998"/>
    <x v="6"/>
    <s v="Feb"/>
    <x v="3"/>
    <n v="-3.3669497954913795E-3"/>
    <n v="1.2692918661174927E-2"/>
    <s v="Normal"/>
  </r>
  <r>
    <d v="2019-02-20T00:00:00"/>
    <n v="1622.099976"/>
    <n v="277.75225799999998"/>
    <n v="3974.0500489999999"/>
    <n v="359.91000400000001"/>
    <x v="6"/>
    <s v="Feb"/>
    <x v="3"/>
    <n v="-1.6398711789388991E-3"/>
    <n v="-9.3129199541190696E-3"/>
    <s v="Normal"/>
  </r>
  <r>
    <d v="2019-02-21T00:00:00"/>
    <n v="1619.4399410000001"/>
    <n v="252.339752"/>
    <n v="3937.040039"/>
    <n v="356.97000100000002"/>
    <x v="6"/>
    <s v="Feb"/>
    <x v="3"/>
    <n v="7.484141704270723E-3"/>
    <n v="1.1808360986800732E-2"/>
    <s v="Normal"/>
  </r>
  <r>
    <d v="2019-02-22T00:00:00"/>
    <n v="1631.5600589999999"/>
    <n v="260.01934799999998"/>
    <n v="3983.530029"/>
    <n v="363.01998900000001"/>
    <x v="6"/>
    <s v="Feb"/>
    <x v="3"/>
    <n v="8.8255470097904003E-4"/>
    <n v="-3.4647666264649123E-2"/>
    <s v="Normal"/>
  </r>
  <r>
    <d v="2019-02-25T00:00:00"/>
    <n v="1633"/>
    <n v="255.26199299999999"/>
    <n v="3845.51001"/>
    <n v="363.91000400000001"/>
    <x v="6"/>
    <s v="Feb"/>
    <x v="3"/>
    <n v="2.0820722596448442E-3"/>
    <n v="-7.1850357763078359E-3"/>
    <s v="Normal"/>
  </r>
  <r>
    <d v="2019-02-26T00:00:00"/>
    <n v="1636.400024"/>
    <n v="252.140289"/>
    <n v="3817.8798830000001"/>
    <n v="364.97000100000002"/>
    <x v="6"/>
    <s v="Feb"/>
    <x v="3"/>
    <n v="2.866011935477687E-3"/>
    <n v="3.3631461422276294E-3"/>
    <s v="Normal"/>
  </r>
  <r>
    <d v="2019-02-27T00:00:00"/>
    <n v="1641.089966"/>
    <n v="251.84108000000001"/>
    <n v="3830.719971"/>
    <n v="362.86999500000002"/>
    <x v="6"/>
    <s v="Feb"/>
    <x v="3"/>
    <n v="-7.6778849795244299E-4"/>
    <n v="-1.9186612583642832E-3"/>
    <s v="Normal"/>
  </r>
  <r>
    <d v="2019-02-28T00:00:00"/>
    <n v="1639.829956"/>
    <n v="250.275238"/>
    <n v="3823.3701169999999"/>
    <n v="358.10000600000001"/>
    <x v="6"/>
    <s v="Feb"/>
    <x v="3"/>
    <n v="1.9453251163805443E-2"/>
    <n v="2.1211294621833578E-3"/>
    <s v="Normal"/>
  </r>
  <r>
    <d v="2019-03-01T00:00:00"/>
    <n v="1671.7299800000001"/>
    <n v="250.06579600000001"/>
    <n v="3831.4799800000001"/>
    <n v="357.32000699999998"/>
    <x v="6"/>
    <s v="Mar"/>
    <x v="3"/>
    <n v="1.4619624157245712E-2"/>
    <n v="-2.6151761596833412E-2"/>
    <s v="Normal"/>
  </r>
  <r>
    <d v="2019-03-04T00:00:00"/>
    <n v="1696.170044"/>
    <n v="247.91153"/>
    <n v="3731.280029"/>
    <n v="351.040009"/>
    <x v="6"/>
    <s v="Mar"/>
    <x v="3"/>
    <n v="-2.2049617096055931E-3"/>
    <n v="3.8297823237431423E-2"/>
    <s v="Normal"/>
  </r>
  <r>
    <d v="2019-03-05T00:00:00"/>
    <n v="1692.4300539999999"/>
    <n v="248.66951"/>
    <n v="3874.179932"/>
    <n v="354.29998799999998"/>
    <x v="6"/>
    <s v="Mar"/>
    <x v="3"/>
    <n v="-1.3873603192347867E-2"/>
    <n v="2.0650770331853051E-4"/>
    <s v="Normal"/>
  </r>
  <r>
    <d v="2019-03-06T00:00:00"/>
    <n v="1668.9499510000001"/>
    <n v="247.941452"/>
    <n v="3874.9799800000001"/>
    <n v="359.60998499999999"/>
    <x v="6"/>
    <s v="Mar"/>
    <x v="3"/>
    <n v="-2.5764703114215796E-2"/>
    <n v="1.96907520538981E-3"/>
    <s v="Normal"/>
  </r>
  <r>
    <d v="2019-03-07T00:00:00"/>
    <n v="1625.9499510000001"/>
    <n v="247.283188"/>
    <n v="3882.610107"/>
    <n v="352.60000600000001"/>
    <x v="6"/>
    <s v="Mar"/>
    <x v="3"/>
    <n v="-3.1673188936921408E-3"/>
    <n v="-3.757803796393414E-3"/>
    <s v="Normal"/>
  </r>
  <r>
    <d v="2019-03-08T00:00:00"/>
    <n v="1620.8000489999999"/>
    <n v="249.85635400000001"/>
    <n v="3868.0200199999999"/>
    <n v="349.60000600000001"/>
    <x v="6"/>
    <s v="Mar"/>
    <x v="3"/>
    <n v="3.073787296017047E-2"/>
    <n v="1.7760696595360687E-3"/>
    <s v="Normal"/>
  </r>
  <r>
    <d v="2019-03-11T00:00:00"/>
    <n v="1670.619995"/>
    <n v="246.33570900000001"/>
    <n v="3874.889893"/>
    <n v="358.85998499999999"/>
    <x v="6"/>
    <s v="Mar"/>
    <x v="3"/>
    <n v="1.4844674476675065E-3"/>
    <n v="3.5304680591604007E-3"/>
    <s v="Normal"/>
  </r>
  <r>
    <d v="2019-03-12T00:00:00"/>
    <n v="1673.099976"/>
    <n v="239.364227"/>
    <n v="3888.570068"/>
    <n v="356.26998900000001"/>
    <x v="6"/>
    <s v="Mar"/>
    <x v="3"/>
    <n v="1.0585191114723882E-2"/>
    <n v="-2.6051033729244614E-3"/>
    <s v="Normal"/>
  </r>
  <r>
    <d v="2019-03-13T00:00:00"/>
    <n v="1690.8100589999999"/>
    <n v="244.71998600000001"/>
    <n v="3878.4399410000001"/>
    <n v="361.209991"/>
    <x v="6"/>
    <s v="Mar"/>
    <x v="3"/>
    <n v="-2.7147271661694815E-3"/>
    <n v="7.7350688566457291E-4"/>
    <s v="Normal"/>
  </r>
  <r>
    <d v="2019-03-14T00:00:00"/>
    <n v="1686.219971"/>
    <n v="247.25"/>
    <n v="3881.4399410000001"/>
    <n v="358.82000699999998"/>
    <x v="6"/>
    <s v="Mar"/>
    <x v="3"/>
    <n v="1.5502137591513596E-2"/>
    <n v="1.1758558085080483E-2"/>
    <s v="Normal"/>
  </r>
  <r>
    <d v="2019-03-15T00:00:00"/>
    <n v="1712.3599850000001"/>
    <n v="244.270004"/>
    <n v="3927.080078"/>
    <n v="361.459991"/>
    <x v="6"/>
    <s v="Mar"/>
    <x v="3"/>
    <n v="1.7397065605921629E-2"/>
    <n v="1.5729248900740123E-2"/>
    <s v="Normal"/>
  </r>
  <r>
    <d v="2019-03-18T00:00:00"/>
    <n v="1742.150024"/>
    <n v="243.41000399999999"/>
    <n v="3988.8500979999999"/>
    <n v="363.44000199999999"/>
    <x v="6"/>
    <s v="Mar"/>
    <x v="3"/>
    <n v="1.1307839008473325E-2"/>
    <n v="8.8471098519581782E-3"/>
    <s v="Normal"/>
  </r>
  <r>
    <d v="2019-03-19T00:00:00"/>
    <n v="1761.849976"/>
    <n v="248.759995"/>
    <n v="4024.139893"/>
    <n v="358.77999899999998"/>
    <x v="6"/>
    <s v="Mar"/>
    <x v="3"/>
    <n v="2.0103893340802793E-2"/>
    <n v="8.1036216103533877E-3"/>
    <s v="Normal"/>
  </r>
  <r>
    <d v="2019-03-20T00:00:00"/>
    <n v="1797.2700199999999"/>
    <n v="243.94000199999999"/>
    <n v="4056.75"/>
    <n v="375.22000100000002"/>
    <x v="6"/>
    <s v="Mar"/>
    <x v="3"/>
    <n v="1.2235217722042698E-2"/>
    <n v="-1.4745810809145251E-2"/>
    <s v="Normal"/>
  </r>
  <r>
    <d v="2019-03-21T00:00:00"/>
    <n v="1819.26001"/>
    <n v="245.050003"/>
    <n v="3996.929932"/>
    <n v="377.86999500000002"/>
    <x v="6"/>
    <s v="Mar"/>
    <x v="3"/>
    <n v="-2.9951732957621619E-2"/>
    <n v="9.7828985409392343E-4"/>
    <s v="Normal"/>
  </r>
  <r>
    <d v="2019-03-22T00:00:00"/>
    <n v="1764.7700199999999"/>
    <n v="239.25"/>
    <n v="4000.8400879999999"/>
    <n v="361.01001000000002"/>
    <x v="6"/>
    <s v="Mar"/>
    <x v="3"/>
    <n v="5.37746555780681E-3"/>
    <n v="-1.9068504944454549E-2"/>
    <s v="Normal"/>
  </r>
  <r>
    <d v="2019-03-25T00:00:00"/>
    <n v="1774.26001"/>
    <n v="242.55999800000001"/>
    <n v="3924.5500489999999"/>
    <n v="366.23001099999999"/>
    <x v="6"/>
    <s v="Mar"/>
    <x v="3"/>
    <n v="5.3543448798127396E-3"/>
    <n v="4.5024070987456132E-3"/>
    <s v="Normal"/>
  </r>
  <r>
    <d v="2019-03-26T00:00:00"/>
    <n v="1783.76001"/>
    <n v="245.39999399999999"/>
    <n v="3942.219971"/>
    <n v="359.97000100000002"/>
    <x v="6"/>
    <s v="Mar"/>
    <x v="3"/>
    <n v="-1.0124713469722818E-2"/>
    <n v="2.632019769654809E-2"/>
    <s v="Normal"/>
  </r>
  <r>
    <d v="2019-03-27T00:00:00"/>
    <n v="1765.6999510000001"/>
    <n v="247.58000200000001"/>
    <n v="4045.9799800000001"/>
    <n v="353.36999500000002"/>
    <x v="6"/>
    <s v="Mar"/>
    <x v="3"/>
    <n v="4.3722564502692825E-3"/>
    <n v="-2.3554315758131886E-3"/>
    <s v="Normal"/>
  </r>
  <r>
    <d v="2019-03-28T00:00:00"/>
    <n v="1773.420044"/>
    <n v="253.91999799999999"/>
    <n v="4036.4499510000001"/>
    <n v="354.60998499999999"/>
    <x v="6"/>
    <s v="Mar"/>
    <x v="3"/>
    <n v="4.1332317319855661E-3"/>
    <n v="1.8563324928985242E-2"/>
    <s v="Normal"/>
  </r>
  <r>
    <d v="2019-03-29T00:00:00"/>
    <n v="1780.75"/>
    <n v="258.10000600000001"/>
    <n v="4111.3798829999996"/>
    <n v="356.55999800000001"/>
    <x v="6"/>
    <s v="Mar"/>
    <x v="3"/>
    <n v="1.877857138845997E-2"/>
    <n v="0.19349958302065282"/>
    <s v="High Volatility"/>
  </r>
  <r>
    <d v="2019-04-01T00:00:00"/>
    <n v="1814.1899410000001"/>
    <n v="249.449997"/>
    <n v="4906.9301759999998"/>
    <n v="366.959991"/>
    <x v="6"/>
    <s v="Apr"/>
    <x v="0"/>
    <n v="-1.1573264477714417E-4"/>
    <n v="1.4196180809889773E-2"/>
    <s v="Normal"/>
  </r>
  <r>
    <d v="2019-04-02T00:00:00"/>
    <n v="1813.9799800000001"/>
    <n v="245.220001"/>
    <n v="4976.5898440000001"/>
    <n v="367.72000100000002"/>
    <x v="6"/>
    <s v="Apr"/>
    <x v="0"/>
    <n v="3.7045452949265663E-3"/>
    <n v="-1.2705483670958599E-2"/>
    <s v="Normal"/>
  </r>
  <r>
    <d v="2019-04-03T00:00:00"/>
    <n v="1820.6999510000001"/>
    <n v="253.11000100000001"/>
    <n v="4913.3598629999997"/>
    <n v="369.75"/>
    <x v="6"/>
    <s v="Apr"/>
    <x v="0"/>
    <n v="-1.0105816716199844E-3"/>
    <n v="2.7246145353225146E-2"/>
    <s v="Normal"/>
  </r>
  <r>
    <d v="2019-04-04T00:00:00"/>
    <n v="1818.8599850000001"/>
    <n v="248.94000199999999"/>
    <n v="5047.2299800000001"/>
    <n v="367.88000499999998"/>
    <x v="6"/>
    <s v="Apr"/>
    <x v="0"/>
    <n v="1.0127246820485724E-2"/>
    <n v="1.9852513239351005E-3"/>
    <s v="Normal"/>
  </r>
  <r>
    <d v="2019-04-05T00:00:00"/>
    <n v="1837.280029"/>
    <n v="254.55999800000001"/>
    <n v="5057.25"/>
    <n v="365.48998999999998"/>
    <x v="6"/>
    <s v="Apr"/>
    <x v="0"/>
    <n v="6.8470542331247634E-3"/>
    <n v="2.8483821246724928E-2"/>
    <s v="Normal"/>
  </r>
  <r>
    <d v="2019-04-08T00:00:00"/>
    <n v="1849.8599850000001"/>
    <n v="247.5"/>
    <n v="5201.2998049999997"/>
    <n v="361.41000400000001"/>
    <x v="6"/>
    <s v="Apr"/>
    <x v="0"/>
    <n v="-7.5789622531891501E-3"/>
    <n v="2.255211147168246E-2"/>
    <s v="Normal"/>
  </r>
  <r>
    <d v="2019-04-09T00:00:00"/>
    <n v="1835.839966"/>
    <n v="247.83000200000001"/>
    <n v="5318.6000979999999"/>
    <n v="364.709991"/>
    <x v="6"/>
    <s v="Apr"/>
    <x v="0"/>
    <n v="6.2587100252724506E-3"/>
    <n v="-5.0772766146028742E-2"/>
    <s v="High Volatility"/>
  </r>
  <r>
    <d v="2019-04-10T00:00:00"/>
    <n v="1847.329956"/>
    <n v="248.94000199999999"/>
    <n v="5048.5600590000004"/>
    <n v="363.92001299999998"/>
    <x v="6"/>
    <s v="Apr"/>
    <x v="0"/>
    <n v="-1.7647145218490496E-3"/>
    <n v="6.5246210038202961E-3"/>
    <s v="Normal"/>
  </r>
  <r>
    <d v="2019-04-11T00:00:00"/>
    <n v="1844.0699460000001"/>
    <n v="255.550003"/>
    <n v="5081.5"/>
    <n v="367.64999399999999"/>
    <x v="6"/>
    <s v="Apr"/>
    <x v="0"/>
    <n v="-5.4764028999589932E-4"/>
    <n v="-1.6527482042705591E-4"/>
    <s v="Normal"/>
  </r>
  <r>
    <d v="2019-04-12T00:00:00"/>
    <n v="1843.0600589999999"/>
    <n v="257.60998499999999"/>
    <n v="5080.6601559999999"/>
    <n v="351.14001500000001"/>
    <x v="6"/>
    <s v="Apr"/>
    <x v="0"/>
    <n v="9.8202768334209071E-4"/>
    <n v="2.6010380332945154E-2"/>
    <s v="Normal"/>
  </r>
  <r>
    <d v="2019-04-15T00:00:00"/>
    <n v="1844.869995"/>
    <n v="258.89999399999999"/>
    <n v="5212.8100590000004"/>
    <n v="348.86999500000002"/>
    <x v="6"/>
    <s v="Apr"/>
    <x v="0"/>
    <n v="9.8489563217162967E-3"/>
    <n v="4.4984771619509646E-3"/>
    <s v="Normal"/>
  </r>
  <r>
    <d v="2019-04-16T00:00:00"/>
    <n v="1863.040039"/>
    <n v="255.33999600000001"/>
    <n v="5236.2597660000001"/>
    <n v="359.459991"/>
    <x v="6"/>
    <s v="Apr"/>
    <x v="0"/>
    <n v="9.5537774966740464E-4"/>
    <n v="1.0215351489496725E-2"/>
    <s v="Normal"/>
  </r>
  <r>
    <d v="2019-04-17T00:00:00"/>
    <n v="1864.8199460000001"/>
    <n v="265.25"/>
    <n v="5289.75"/>
    <n v="354.73998999999998"/>
    <x v="6"/>
    <s v="Apr"/>
    <x v="0"/>
    <n v="-1.678448906938055E-3"/>
    <n v="1.0926385935062565E-3"/>
    <s v="Normal"/>
  </r>
  <r>
    <d v="2019-04-18T00:00:00"/>
    <n v="1861.6899410000001"/>
    <n v="267.60998499999999"/>
    <n v="5295.5297849999997"/>
    <n v="360.35000600000001"/>
    <x v="6"/>
    <s v="Apr"/>
    <x v="0"/>
    <n v="1.3761753466980687E-2"/>
    <n v="4.5995457090984938E-2"/>
    <s v="Normal"/>
  </r>
  <r>
    <d v="2019-04-22T00:00:00"/>
    <n v="1887.3100589999999"/>
    <n v="266"/>
    <n v="5539.1000979999999"/>
    <n v="377.33999599999999"/>
    <x v="6"/>
    <s v="Apr"/>
    <x v="0"/>
    <n v="1.9318479666938511E-2"/>
    <n v="-1.5258799896127086E-2"/>
    <s v="Normal"/>
  </r>
  <r>
    <d v="2019-04-23T00:00:00"/>
    <n v="1923.7700199999999"/>
    <n v="270.20001200000002"/>
    <n v="5454.580078"/>
    <n v="381.89001500000001"/>
    <x v="6"/>
    <s v="Apr"/>
    <x v="0"/>
    <n v="-1.1446285039830245E-2"/>
    <n v="-5.351652223007293E-2"/>
    <s v="High Volatility"/>
  </r>
  <r>
    <d v="2019-04-24T00:00:00"/>
    <n v="1901.75"/>
    <n v="283.42001299999998"/>
    <n v="5162.669922"/>
    <n v="374.23001099999999"/>
    <x v="6"/>
    <s v="Apr"/>
    <x v="0"/>
    <n v="2.6291573550677008E-4"/>
    <n v="1.3833912118931714E-2"/>
    <s v="Normal"/>
  </r>
  <r>
    <d v="2019-04-25T00:00:00"/>
    <n v="1902.25"/>
    <n v="276.45001200000002"/>
    <n v="5234.0898440000001"/>
    <n v="368.32998700000002"/>
    <x v="6"/>
    <s v="Apr"/>
    <x v="0"/>
    <n v="2.5433042449730572E-2"/>
    <n v="-8.8073841630449776E-4"/>
    <s v="Normal"/>
  </r>
  <r>
    <d v="2019-04-26T00:00:00"/>
    <n v="1950.630005"/>
    <n v="273.42999300000002"/>
    <n v="5229.4799800000001"/>
    <n v="374.85000600000001"/>
    <x v="6"/>
    <s v="Apr"/>
    <x v="0"/>
    <n v="-6.2543644713391232E-3"/>
    <n v="2.3168681678364559E-2"/>
    <s v="Normal"/>
  </r>
  <r>
    <d v="2019-04-29T00:00:00"/>
    <n v="1938.4300539999999"/>
    <n v="268.86999500000002"/>
    <n v="5350.6401370000003"/>
    <n v="371.82998700000002"/>
    <x v="6"/>
    <s v="Apr"/>
    <x v="0"/>
    <n v="-6.1441649521597839E-3"/>
    <n v="7.2701398344853984E-3"/>
    <s v="Normal"/>
  </r>
  <r>
    <d v="2019-04-30T00:00:00"/>
    <n v="1926.5200199999999"/>
    <n v="270.57998700000002"/>
    <n v="5389.5400390000004"/>
    <n v="370.540009"/>
    <x v="6"/>
    <s v="Apr"/>
    <x v="0"/>
    <n v="-7.7860597576349094E-3"/>
    <n v="2.0628880237547827E-2"/>
    <s v="Normal"/>
  </r>
  <r>
    <d v="2019-05-01T00:00:00"/>
    <n v="1911.5200199999999"/>
    <n v="271.459991"/>
    <n v="5500.7202150000003"/>
    <n v="378.80999800000001"/>
    <x v="6"/>
    <s v="May"/>
    <x v="0"/>
    <n v="-5.5976782288682803E-3"/>
    <n v="4.5932106728682129E-2"/>
    <s v="Normal"/>
  </r>
  <r>
    <d v="2019-05-02T00:00:00"/>
    <n v="1900.8199460000001"/>
    <n v="274.32000699999998"/>
    <n v="5753.3798829999996"/>
    <n v="379.05999800000001"/>
    <x v="6"/>
    <s v="May"/>
    <x v="0"/>
    <n v="3.2428118786165111E-2"/>
    <n v="1.5069436881124568E-2"/>
    <s v="Normal"/>
  </r>
  <r>
    <d v="2019-05-03T00:00:00"/>
    <n v="1962.459961"/>
    <n v="279.75"/>
    <n v="5840.080078"/>
    <n v="385.02999899999998"/>
    <x v="6"/>
    <s v="May"/>
    <x v="0"/>
    <n v="-6.0688687854457968E-3"/>
    <n v="-3.5119816382763996E-3"/>
    <s v="Normal"/>
  </r>
  <r>
    <d v="2019-05-06T00:00:00"/>
    <n v="1950.5500489999999"/>
    <n v="282.01998900000001"/>
    <n v="5819.5698240000002"/>
    <n v="378.67001299999998"/>
    <x v="6"/>
    <s v="May"/>
    <x v="0"/>
    <n v="-1.5149597937848118E-2"/>
    <n v="3.0782367497546398E-2"/>
    <s v="Normal"/>
  </r>
  <r>
    <d v="2019-05-07T00:00:00"/>
    <n v="1921"/>
    <n v="277.39001500000001"/>
    <n v="5998.7099609999996"/>
    <n v="370.459991"/>
    <x v="6"/>
    <s v="May"/>
    <x v="0"/>
    <n v="-1.6814055179594318E-3"/>
    <n v="2.8881209647802143E-2"/>
    <s v="Normal"/>
  </r>
  <r>
    <d v="2019-05-08T00:00:00"/>
    <n v="1917.7700199999999"/>
    <n v="283.14999399999999"/>
    <n v="6171.9599609999996"/>
    <n v="364.36999500000002"/>
    <x v="6"/>
    <s v="May"/>
    <x v="0"/>
    <n v="-9.3337703756574079E-3"/>
    <n v="3.0189774265776525E-2"/>
    <s v="Normal"/>
  </r>
  <r>
    <d v="2019-05-09T00:00:00"/>
    <n v="1899.869995"/>
    <n v="282.16000400000001"/>
    <n v="6358.2900390000004"/>
    <n v="362.75"/>
    <x v="6"/>
    <s v="May"/>
    <x v="0"/>
    <n v="-5.2056272408259954E-3"/>
    <n v="0.13102104793744518"/>
    <s v="High Volatility"/>
  </r>
  <r>
    <d v="2019-05-10T00:00:00"/>
    <n v="1889.9799800000001"/>
    <n v="278.36999500000002"/>
    <n v="7191.3598629999997"/>
    <n v="361.040009"/>
    <x v="6"/>
    <s v="May"/>
    <x v="0"/>
    <n v="-3.5608803644576248E-2"/>
    <n v="0.10968301336973435"/>
    <s v="High Volatility"/>
  </r>
  <r>
    <d v="2019-05-13T00:00:00"/>
    <n v="1822.6800539999999"/>
    <n v="273.88000499999998"/>
    <n v="7980.1298829999996"/>
    <n v="345.26001000000002"/>
    <x v="6"/>
    <s v="May"/>
    <x v="0"/>
    <n v="9.5682953032414607E-3"/>
    <n v="2.5525924763949152E-2"/>
    <s v="Normal"/>
  </r>
  <r>
    <d v="2019-05-14T00:00:00"/>
    <n v="1840.119995"/>
    <n v="272.85998499999999"/>
    <n v="8183.830078"/>
    <n v="345.60998499999999"/>
    <x v="6"/>
    <s v="May"/>
    <x v="0"/>
    <n v="-1"/>
    <n v="-1"/>
    <s v="High Volatil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18728-1C6A-42A3-9D9D-AFD477298818}" name="PivotTable1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11" firstHeaderRow="0" firstDataRow="1" firstDataCol="1"/>
  <pivotFields count="11">
    <pivotField compact="0" numFmtId="14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PZ" fld="2" subtotal="average" baseField="0" baseItem="0"/>
    <dataField name="Average of NFLX" fld="4" subtotal="average" baseField="0" baseItem="0"/>
    <dataField name="Average of BTC" fld="3" subtotal="average" baseField="0" baseItem="0"/>
    <dataField name="Average of AMZN" fld="1" subtotal="average" baseField="0" baseItem="0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FF537-6714-4A5C-AAE8-9CBC55D1EF7E}" name="PivotTable2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36" firstHeaderRow="1" firstDataRow="1" firstDataCol="2"/>
  <pivotFields count="11"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5"/>
    <field x="7"/>
  </rowFields>
  <rowItems count="33">
    <i>
      <x/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t="default">
      <x v="6"/>
    </i>
    <i t="grand">
      <x/>
    </i>
  </rowItems>
  <colItems count="1">
    <i/>
  </colItems>
  <dataFields count="1">
    <dataField name="Average of BTC" fld="3" subtotal="average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861B943A-E4AB-45F3-AFA4-055D6F0D9E25}" sourceName="YEAR">
  <pivotTables>
    <pivotTable tabId="2" name="PivotTable1"/>
  </pivotTables>
  <data>
    <tabular pivotCacheId="1380009400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F2E7EF20-CA05-40B5-942C-6DD543D62C85}" cache="Slicer_YEAR" caption="YEAR" rowHeight="228600"/>
</slicer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21"/>
  <sheetViews>
    <sheetView zoomScaleNormal="100" workbookViewId="0">
      <selection sqref="A1:P1521"/>
    </sheetView>
  </sheetViews>
  <sheetFormatPr defaultColWidth="11.5703125" defaultRowHeight="12.75"/>
  <cols>
    <col min="1" max="1" width="10.42578125" style="4" customWidth="1"/>
    <col min="2" max="2" width="11.85546875" style="3" customWidth="1"/>
    <col min="3" max="3" width="10.85546875" style="3" customWidth="1"/>
    <col min="4" max="4" width="11.85546875" style="3" customWidth="1"/>
    <col min="5" max="5" width="10.85546875" style="3" customWidth="1"/>
    <col min="6" max="8" width="11.5703125" style="3"/>
    <col min="9" max="9" width="17.42578125" style="3" customWidth="1"/>
    <col min="10" max="10" width="16.140625" style="3" customWidth="1"/>
    <col min="11" max="11" width="16.85546875" style="3" customWidth="1"/>
    <col min="12" max="12" width="22.7109375" style="4" customWidth="1"/>
    <col min="13" max="13" width="25.85546875" style="3" customWidth="1"/>
    <col min="14" max="14" width="17.85546875" style="3" customWidth="1"/>
    <col min="15" max="15" width="34.42578125" style="3" customWidth="1"/>
    <col min="16" max="16" width="26.42578125" style="3" customWidth="1"/>
  </cols>
  <sheetData>
    <row r="1" spans="1:16" s="8" customForma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10" t="s">
        <v>12</v>
      </c>
      <c r="N1" s="10" t="s">
        <v>13</v>
      </c>
      <c r="O1" s="11" t="s">
        <v>14</v>
      </c>
      <c r="P1" s="10" t="s">
        <v>15</v>
      </c>
    </row>
    <row r="2" spans="1:16">
      <c r="A2" s="5">
        <v>41395</v>
      </c>
      <c r="B2" s="3">
        <v>248.229996</v>
      </c>
      <c r="C2" s="3">
        <v>51.190983000000003</v>
      </c>
      <c r="D2" s="3">
        <v>106.25</v>
      </c>
      <c r="E2" s="3">
        <v>30.415714000000001</v>
      </c>
      <c r="F2" s="3">
        <f>YEAR(A2)</f>
        <v>2013</v>
      </c>
      <c r="G2" s="3" t="str">
        <f>TEXT(A2,"MMM")</f>
        <v>May</v>
      </c>
      <c r="H2" s="3" t="str">
        <f>"Q"&amp;ROUNDUP(MONTH(A2)/3,0)</f>
        <v>Q2</v>
      </c>
      <c r="I2" s="3">
        <f>(B3-B2)/B2</f>
        <v>1.7403243240595324E-2</v>
      </c>
      <c r="J2" s="3">
        <f>(D3-D2)/D2</f>
        <v>-7.6705901176470595E-2</v>
      </c>
      <c r="K2" s="3" t="str">
        <f>IF(J2="","",IF(ABS(J2)&gt;0.05,"High Volatility","Normal"))</f>
        <v>High Volatility</v>
      </c>
      <c r="L2" s="4">
        <f>VALUE(A2)</f>
        <v>41395</v>
      </c>
      <c r="M2" s="3">
        <f>SUMIF(F:F,2015,B:B)</f>
        <v>120490.85037200002</v>
      </c>
      <c r="N2" s="3">
        <f>COUNTIF(D:D,"&gt;1000")</f>
        <v>579</v>
      </c>
      <c r="O2" s="3">
        <f>_xlfn.XLOOKUP(DATE(2016,1,15),L:L,B:B)</f>
        <v>570.17999299999997</v>
      </c>
      <c r="P2" s="3">
        <f>INDEX(B:B,MATCH(DATE(2016,1,15),L:L,0))</f>
        <v>570.17999299999997</v>
      </c>
    </row>
    <row r="3" spans="1:16">
      <c r="A3" s="5">
        <v>41396</v>
      </c>
      <c r="B3" s="3">
        <v>252.550003</v>
      </c>
      <c r="C3" s="3">
        <v>51.987319999999997</v>
      </c>
      <c r="D3" s="3">
        <v>98.099997999999999</v>
      </c>
      <c r="E3" s="3">
        <v>30.641428000000001</v>
      </c>
      <c r="F3" s="3">
        <f t="shared" ref="F3:F66" si="0">YEAR(A3)</f>
        <v>2013</v>
      </c>
      <c r="G3" s="3" t="str">
        <f t="shared" ref="G3:G66" si="1">TEXT(A3,"MMM")</f>
        <v>May</v>
      </c>
      <c r="H3" s="3" t="str">
        <f t="shared" ref="H3:H66" si="2">"Q"&amp;ROUNDUP(MONTH(A3)/3,0)</f>
        <v>Q2</v>
      </c>
      <c r="I3" s="3">
        <f t="shared" ref="I3:I66" si="3">(B4-B3)/B3</f>
        <v>2.1777806116280194E-2</v>
      </c>
      <c r="J3" s="3">
        <f t="shared" ref="J3:J66" si="4">(D4-D3)/D3</f>
        <v>0.15086650664355775</v>
      </c>
      <c r="K3" s="3" t="str">
        <f t="shared" ref="K3:K66" si="5">IF(J3="","",IF(ABS(J3)&gt;0.05,"High Volatility","Normal"))</f>
        <v>High Volatility</v>
      </c>
      <c r="L3" s="4">
        <f>VALUE(A3)</f>
        <v>41396</v>
      </c>
    </row>
    <row r="4" spans="1:16">
      <c r="A4" s="5">
        <v>41397</v>
      </c>
      <c r="B4" s="3">
        <v>258.04998799999998</v>
      </c>
      <c r="C4" s="3">
        <v>52.446387999999999</v>
      </c>
      <c r="D4" s="3">
        <v>112.900002</v>
      </c>
      <c r="E4" s="3">
        <v>30.492857000000001</v>
      </c>
      <c r="F4" s="3">
        <f t="shared" si="0"/>
        <v>2013</v>
      </c>
      <c r="G4" s="3" t="str">
        <f t="shared" si="1"/>
        <v>May</v>
      </c>
      <c r="H4" s="3" t="str">
        <f t="shared" si="2"/>
        <v>Q2</v>
      </c>
      <c r="I4" s="3">
        <f t="shared" si="3"/>
        <v>-9.0292079378046265E-3</v>
      </c>
      <c r="J4" s="3">
        <f t="shared" si="4"/>
        <v>-2.9229441466263228E-2</v>
      </c>
      <c r="K4" s="3" t="str">
        <f t="shared" si="5"/>
        <v>Normal</v>
      </c>
      <c r="L4" s="4">
        <f>VALUE(A4)</f>
        <v>41397</v>
      </c>
      <c r="M4" s="7"/>
    </row>
    <row r="5" spans="1:16">
      <c r="A5" s="5">
        <v>41400</v>
      </c>
      <c r="B5" s="3">
        <v>255.720001</v>
      </c>
      <c r="C5" s="3">
        <v>53.205257000000003</v>
      </c>
      <c r="D5" s="3">
        <v>109.599998</v>
      </c>
      <c r="E5" s="3">
        <v>30.098572000000001</v>
      </c>
      <c r="F5" s="3">
        <f t="shared" si="0"/>
        <v>2013</v>
      </c>
      <c r="G5" s="3" t="str">
        <f t="shared" si="1"/>
        <v>May</v>
      </c>
      <c r="H5" s="3" t="str">
        <f t="shared" si="2"/>
        <v>Q2</v>
      </c>
      <c r="I5" s="3">
        <f t="shared" si="3"/>
        <v>7.8601986240411214E-3</v>
      </c>
      <c r="J5" s="3">
        <f t="shared" si="4"/>
        <v>3.2846706803771997E-2</v>
      </c>
      <c r="K5" s="3" t="str">
        <f t="shared" si="5"/>
        <v>Normal</v>
      </c>
      <c r="L5" s="4">
        <f>VALUE(A5)</f>
        <v>41400</v>
      </c>
    </row>
    <row r="6" spans="1:16">
      <c r="A6" s="5">
        <v>41401</v>
      </c>
      <c r="B6" s="3">
        <v>257.73001099999999</v>
      </c>
      <c r="C6" s="3">
        <v>54.151505</v>
      </c>
      <c r="D6" s="3">
        <v>113.199997</v>
      </c>
      <c r="E6" s="3">
        <v>29.464285</v>
      </c>
      <c r="F6" s="3">
        <f t="shared" si="0"/>
        <v>2013</v>
      </c>
      <c r="G6" s="3" t="str">
        <f t="shared" si="1"/>
        <v>May</v>
      </c>
      <c r="H6" s="3" t="str">
        <f t="shared" si="2"/>
        <v>Q2</v>
      </c>
      <c r="I6" s="3">
        <f t="shared" si="3"/>
        <v>3.6859580159643657E-3</v>
      </c>
      <c r="J6" s="3">
        <f t="shared" si="4"/>
        <v>-3.5335159947044205E-3</v>
      </c>
      <c r="K6" s="3" t="str">
        <f t="shared" si="5"/>
        <v>Normal</v>
      </c>
      <c r="L6" s="4">
        <f>VALUE(A6)</f>
        <v>41401</v>
      </c>
    </row>
    <row r="7" spans="1:16">
      <c r="A7" s="5">
        <v>41402</v>
      </c>
      <c r="B7" s="3">
        <v>258.67999300000002</v>
      </c>
      <c r="C7" s="3">
        <v>54.385727000000003</v>
      </c>
      <c r="D7" s="3">
        <v>112.800003</v>
      </c>
      <c r="E7" s="3">
        <v>29.801428000000001</v>
      </c>
      <c r="F7" s="3">
        <f t="shared" si="0"/>
        <v>2013</v>
      </c>
      <c r="G7" s="3" t="str">
        <f t="shared" si="1"/>
        <v>May</v>
      </c>
      <c r="H7" s="3" t="str">
        <f t="shared" si="2"/>
        <v>Q2</v>
      </c>
      <c r="I7" s="3">
        <f t="shared" si="3"/>
        <v>5.7213972477569621E-3</v>
      </c>
      <c r="J7" s="3">
        <f t="shared" si="4"/>
        <v>4.3439661965257149E-2</v>
      </c>
      <c r="K7" s="3" t="str">
        <f t="shared" si="5"/>
        <v>Normal</v>
      </c>
      <c r="L7" s="4">
        <f>VALUE(A7)</f>
        <v>41402</v>
      </c>
    </row>
    <row r="8" spans="1:16">
      <c r="A8" s="5">
        <v>41403</v>
      </c>
      <c r="B8" s="3">
        <v>260.16000400000001</v>
      </c>
      <c r="C8" s="3">
        <v>54.020339999999997</v>
      </c>
      <c r="D8" s="3">
        <v>117.699997</v>
      </c>
      <c r="E8" s="3">
        <v>30.915714000000001</v>
      </c>
      <c r="F8" s="3">
        <f t="shared" si="0"/>
        <v>2013</v>
      </c>
      <c r="G8" s="3" t="str">
        <f t="shared" si="1"/>
        <v>May</v>
      </c>
      <c r="H8" s="3" t="str">
        <f t="shared" si="2"/>
        <v>Q2</v>
      </c>
      <c r="I8" s="3">
        <f t="shared" si="3"/>
        <v>1.3337949518174083E-2</v>
      </c>
      <c r="J8" s="3">
        <f t="shared" si="4"/>
        <v>-1.7502107497929614E-2</v>
      </c>
      <c r="K8" s="3" t="str">
        <f t="shared" si="5"/>
        <v>Normal</v>
      </c>
      <c r="L8" s="4">
        <f>VALUE(A8)</f>
        <v>41403</v>
      </c>
    </row>
    <row r="9" spans="1:16">
      <c r="A9" s="5">
        <v>41404</v>
      </c>
      <c r="B9" s="3">
        <v>263.63000499999998</v>
      </c>
      <c r="C9" s="3">
        <v>54.357619999999997</v>
      </c>
      <c r="D9" s="3">
        <v>115.639999</v>
      </c>
      <c r="E9" s="3">
        <v>31.098572000000001</v>
      </c>
      <c r="F9" s="3">
        <f t="shared" si="0"/>
        <v>2013</v>
      </c>
      <c r="G9" s="3" t="str">
        <f t="shared" si="1"/>
        <v>May</v>
      </c>
      <c r="H9" s="3" t="str">
        <f t="shared" si="2"/>
        <v>Q2</v>
      </c>
      <c r="I9" s="3">
        <f t="shared" si="3"/>
        <v>3.3380305098429132E-3</v>
      </c>
      <c r="J9" s="3">
        <f t="shared" si="4"/>
        <v>-3.6665488037577743E-2</v>
      </c>
      <c r="K9" s="3" t="str">
        <f t="shared" si="5"/>
        <v>Normal</v>
      </c>
      <c r="L9" s="4">
        <f>VALUE(A9)</f>
        <v>41404</v>
      </c>
      <c r="M9" s="4"/>
    </row>
    <row r="10" spans="1:16">
      <c r="A10" s="5">
        <v>41407</v>
      </c>
      <c r="B10" s="3">
        <v>264.51001000000002</v>
      </c>
      <c r="C10" s="3">
        <v>54.573096999999997</v>
      </c>
      <c r="D10" s="3">
        <v>111.400002</v>
      </c>
      <c r="E10" s="3">
        <v>32.768569999999997</v>
      </c>
      <c r="F10" s="3">
        <f t="shared" si="0"/>
        <v>2013</v>
      </c>
      <c r="G10" s="3" t="str">
        <f t="shared" si="1"/>
        <v>May</v>
      </c>
      <c r="H10" s="3" t="str">
        <f t="shared" si="2"/>
        <v>Q2</v>
      </c>
      <c r="I10" s="3">
        <f t="shared" si="3"/>
        <v>1.444171054244788E-2</v>
      </c>
      <c r="J10" s="3">
        <f t="shared" si="4"/>
        <v>2.5314173692743702E-2</v>
      </c>
      <c r="K10" s="3" t="str">
        <f t="shared" si="5"/>
        <v>Normal</v>
      </c>
      <c r="L10" s="4">
        <f>VALUE(A10)</f>
        <v>41407</v>
      </c>
      <c r="M10" s="4"/>
    </row>
    <row r="11" spans="1:16">
      <c r="A11" s="5">
        <v>41408</v>
      </c>
      <c r="B11" s="3">
        <v>268.32998700000002</v>
      </c>
      <c r="C11" s="3">
        <v>55.275756999999999</v>
      </c>
      <c r="D11" s="3">
        <v>114.220001</v>
      </c>
      <c r="E11" s="3">
        <v>33.424286000000002</v>
      </c>
      <c r="F11" s="3">
        <f t="shared" si="0"/>
        <v>2013</v>
      </c>
      <c r="G11" s="3" t="str">
        <f t="shared" si="1"/>
        <v>May</v>
      </c>
      <c r="H11" s="3" t="str">
        <f t="shared" si="2"/>
        <v>Q2</v>
      </c>
      <c r="I11" s="3">
        <f t="shared" si="3"/>
        <v>-6.5963145595054548E-3</v>
      </c>
      <c r="J11" s="3">
        <f t="shared" si="4"/>
        <v>3.4932568421182204E-2</v>
      </c>
      <c r="K11" s="3" t="str">
        <f t="shared" si="5"/>
        <v>Normal</v>
      </c>
      <c r="L11" s="4">
        <f>VALUE(A11)</f>
        <v>41408</v>
      </c>
      <c r="N11" s="4"/>
    </row>
    <row r="12" spans="1:16">
      <c r="A12" s="5">
        <v>41409</v>
      </c>
      <c r="B12" s="3">
        <v>266.55999800000001</v>
      </c>
      <c r="C12" s="3">
        <v>54.001606000000002</v>
      </c>
      <c r="D12" s="3">
        <v>118.209999</v>
      </c>
      <c r="E12" s="3">
        <v>34.771427000000003</v>
      </c>
      <c r="F12" s="3">
        <f t="shared" si="0"/>
        <v>2013</v>
      </c>
      <c r="G12" s="3" t="str">
        <f t="shared" si="1"/>
        <v>May</v>
      </c>
      <c r="H12" s="3" t="str">
        <f t="shared" si="2"/>
        <v>Q2</v>
      </c>
      <c r="I12" s="3">
        <f t="shared" si="3"/>
        <v>-9.1536727877676166E-3</v>
      </c>
      <c r="J12" s="3">
        <f t="shared" si="4"/>
        <v>4.4750875939014292E-2</v>
      </c>
      <c r="K12" s="3" t="str">
        <f t="shared" si="5"/>
        <v>Normal</v>
      </c>
      <c r="L12" s="4">
        <f>VALUE(A12)</f>
        <v>41409</v>
      </c>
    </row>
    <row r="13" spans="1:16">
      <c r="A13" s="5">
        <v>41410</v>
      </c>
      <c r="B13" s="3">
        <v>264.11999500000002</v>
      </c>
      <c r="C13" s="3">
        <v>53.364531999999997</v>
      </c>
      <c r="D13" s="3">
        <v>123.5</v>
      </c>
      <c r="E13" s="3">
        <v>33.861426999999999</v>
      </c>
      <c r="F13" s="3">
        <f t="shared" si="0"/>
        <v>2013</v>
      </c>
      <c r="G13" s="3" t="str">
        <f t="shared" si="1"/>
        <v>May</v>
      </c>
      <c r="H13" s="3" t="str">
        <f t="shared" si="2"/>
        <v>Q2</v>
      </c>
      <c r="I13" s="3">
        <f t="shared" si="3"/>
        <v>2.1883988752915032E-2</v>
      </c>
      <c r="J13" s="3">
        <f t="shared" si="4"/>
        <v>-2.3481862348178439E-3</v>
      </c>
      <c r="K13" s="3" t="str">
        <f t="shared" si="5"/>
        <v>Normal</v>
      </c>
      <c r="L13" s="4">
        <f>VALUE(A13)</f>
        <v>41410</v>
      </c>
    </row>
    <row r="14" spans="1:16">
      <c r="A14" s="5">
        <v>41411</v>
      </c>
      <c r="B14" s="3">
        <v>269.89999399999999</v>
      </c>
      <c r="C14" s="3">
        <v>53.936019999999999</v>
      </c>
      <c r="D14" s="3">
        <v>123.209999</v>
      </c>
      <c r="E14" s="3">
        <v>34.142856999999999</v>
      </c>
      <c r="F14" s="3">
        <f t="shared" si="0"/>
        <v>2013</v>
      </c>
      <c r="G14" s="3" t="str">
        <f t="shared" si="1"/>
        <v>May</v>
      </c>
      <c r="H14" s="3" t="str">
        <f t="shared" si="2"/>
        <v>Q2</v>
      </c>
      <c r="I14" s="3">
        <f t="shared" si="3"/>
        <v>-8.4104818468429075E-3</v>
      </c>
      <c r="J14" s="3">
        <f t="shared" si="4"/>
        <v>-2.5971918074603117E-3</v>
      </c>
      <c r="K14" s="3" t="str">
        <f t="shared" si="5"/>
        <v>Normal</v>
      </c>
      <c r="L14" s="4">
        <f>VALUE(A14)</f>
        <v>41411</v>
      </c>
    </row>
    <row r="15" spans="1:16">
      <c r="A15" s="5">
        <v>41414</v>
      </c>
      <c r="B15" s="3">
        <v>267.63000499999998</v>
      </c>
      <c r="C15" s="3">
        <v>53.139682999999998</v>
      </c>
      <c r="D15" s="3">
        <v>122.889999</v>
      </c>
      <c r="E15" s="3">
        <v>34.221428000000003</v>
      </c>
      <c r="F15" s="3">
        <f t="shared" si="0"/>
        <v>2013</v>
      </c>
      <c r="G15" s="3" t="str">
        <f t="shared" si="1"/>
        <v>May</v>
      </c>
      <c r="H15" s="3" t="str">
        <f t="shared" si="2"/>
        <v>Q2</v>
      </c>
      <c r="I15" s="3">
        <f t="shared" si="3"/>
        <v>4.5958225050289556E-3</v>
      </c>
      <c r="J15" s="3">
        <f t="shared" si="4"/>
        <v>7.4050289478804592E-3</v>
      </c>
      <c r="K15" s="3" t="str">
        <f t="shared" si="5"/>
        <v>Normal</v>
      </c>
      <c r="L15" s="4">
        <f>VALUE(A15)</f>
        <v>41414</v>
      </c>
    </row>
    <row r="16" spans="1:16">
      <c r="A16" s="5">
        <v>41415</v>
      </c>
      <c r="B16" s="3">
        <v>268.85998499999999</v>
      </c>
      <c r="C16" s="3">
        <v>53.355167000000002</v>
      </c>
      <c r="D16" s="3">
        <v>123.800003</v>
      </c>
      <c r="E16" s="3">
        <v>33.869999</v>
      </c>
      <c r="F16" s="3">
        <f t="shared" si="0"/>
        <v>2013</v>
      </c>
      <c r="G16" s="3" t="str">
        <f t="shared" si="1"/>
        <v>May</v>
      </c>
      <c r="H16" s="3" t="str">
        <f t="shared" si="2"/>
        <v>Q2</v>
      </c>
      <c r="I16" s="3">
        <f t="shared" si="3"/>
        <v>-2.1944485342435739E-2</v>
      </c>
      <c r="J16" s="3">
        <f t="shared" si="4"/>
        <v>2.0193860576885447E-2</v>
      </c>
      <c r="K16" s="3" t="str">
        <f t="shared" si="5"/>
        <v>Normal</v>
      </c>
      <c r="L16" s="4">
        <f>VALUE(A16)</f>
        <v>41415</v>
      </c>
    </row>
    <row r="17" spans="1:12">
      <c r="A17" s="5">
        <v>41416</v>
      </c>
      <c r="B17" s="3">
        <v>262.959991</v>
      </c>
      <c r="C17" s="3">
        <v>53.036613000000003</v>
      </c>
      <c r="D17" s="3">
        <v>126.300003</v>
      </c>
      <c r="E17" s="3">
        <v>32.651428000000003</v>
      </c>
      <c r="F17" s="3">
        <f t="shared" si="0"/>
        <v>2013</v>
      </c>
      <c r="G17" s="3" t="str">
        <f t="shared" si="1"/>
        <v>May</v>
      </c>
      <c r="H17" s="3" t="str">
        <f t="shared" si="2"/>
        <v>Q2</v>
      </c>
      <c r="I17" s="3">
        <f t="shared" si="3"/>
        <v>-4.4113288701778872E-3</v>
      </c>
      <c r="J17" s="3">
        <f t="shared" si="4"/>
        <v>5.3840085815358242E-2</v>
      </c>
      <c r="K17" s="3" t="str">
        <f t="shared" si="5"/>
        <v>High Volatility</v>
      </c>
      <c r="L17" s="4">
        <f>VALUE(A17)</f>
        <v>41416</v>
      </c>
    </row>
    <row r="18" spans="1:12">
      <c r="A18" s="5">
        <v>41417</v>
      </c>
      <c r="B18" s="3">
        <v>261.79998799999998</v>
      </c>
      <c r="C18" s="3">
        <v>55.472504000000001</v>
      </c>
      <c r="D18" s="3">
        <v>133.10000600000001</v>
      </c>
      <c r="E18" s="3">
        <v>32.311427999999999</v>
      </c>
      <c r="F18" s="3">
        <f t="shared" si="0"/>
        <v>2013</v>
      </c>
      <c r="G18" s="3" t="str">
        <f t="shared" si="1"/>
        <v>May</v>
      </c>
      <c r="H18" s="3" t="str">
        <f t="shared" si="2"/>
        <v>Q2</v>
      </c>
      <c r="I18" s="3">
        <f t="shared" si="3"/>
        <v>-2.2917495320896398E-4</v>
      </c>
      <c r="J18" s="3">
        <f t="shared" si="4"/>
        <v>-8.3396014272156468E-3</v>
      </c>
      <c r="K18" s="3" t="str">
        <f t="shared" si="5"/>
        <v>Normal</v>
      </c>
      <c r="L18" s="4">
        <f>VALUE(A18)</f>
        <v>41417</v>
      </c>
    </row>
    <row r="19" spans="1:12">
      <c r="A19" s="5">
        <v>41418</v>
      </c>
      <c r="B19" s="3">
        <v>261.73998999999998</v>
      </c>
      <c r="C19" s="3">
        <v>55.013438999999998</v>
      </c>
      <c r="D19" s="3">
        <v>131.990005</v>
      </c>
      <c r="E19" s="3">
        <v>32.677143000000001</v>
      </c>
      <c r="F19" s="3">
        <f t="shared" si="0"/>
        <v>2013</v>
      </c>
      <c r="G19" s="3" t="str">
        <f t="shared" si="1"/>
        <v>May</v>
      </c>
      <c r="H19" s="3" t="str">
        <f t="shared" si="2"/>
        <v>Q2</v>
      </c>
      <c r="I19" s="3">
        <f t="shared" si="3"/>
        <v>2.1204321892119047E-2</v>
      </c>
      <c r="J19" s="3">
        <f t="shared" si="4"/>
        <v>1.9698082441924562E-3</v>
      </c>
      <c r="K19" s="3" t="str">
        <f t="shared" si="5"/>
        <v>Normal</v>
      </c>
      <c r="L19" s="4">
        <f>VALUE(A19)</f>
        <v>41418</v>
      </c>
    </row>
    <row r="20" spans="1:12">
      <c r="A20" s="5">
        <v>41422</v>
      </c>
      <c r="B20" s="3">
        <v>267.290009</v>
      </c>
      <c r="C20" s="3">
        <v>55.894103999999999</v>
      </c>
      <c r="D20" s="3">
        <v>132.25</v>
      </c>
      <c r="E20" s="3">
        <v>30.598572000000001</v>
      </c>
      <c r="F20" s="3">
        <f t="shared" si="0"/>
        <v>2013</v>
      </c>
      <c r="G20" s="3" t="str">
        <f t="shared" si="1"/>
        <v>May</v>
      </c>
      <c r="H20" s="3" t="str">
        <f t="shared" si="2"/>
        <v>Q2</v>
      </c>
      <c r="I20" s="3">
        <f t="shared" si="3"/>
        <v>-6.5846456685181316E-3</v>
      </c>
      <c r="J20" s="3">
        <f t="shared" si="4"/>
        <v>-2.6086933837429084E-2</v>
      </c>
      <c r="K20" s="3" t="str">
        <f t="shared" si="5"/>
        <v>Normal</v>
      </c>
      <c r="L20" s="4">
        <f>VALUE(A20)</f>
        <v>41422</v>
      </c>
    </row>
    <row r="21" spans="1:12">
      <c r="A21" s="5">
        <v>41423</v>
      </c>
      <c r="B21" s="3">
        <v>265.52999899999998</v>
      </c>
      <c r="C21" s="3">
        <v>55.538086</v>
      </c>
      <c r="D21" s="3">
        <v>128.800003</v>
      </c>
      <c r="E21" s="3">
        <v>30.762857</v>
      </c>
      <c r="F21" s="3">
        <f t="shared" si="0"/>
        <v>2013</v>
      </c>
      <c r="G21" s="3" t="str">
        <f t="shared" si="1"/>
        <v>May</v>
      </c>
      <c r="H21" s="3" t="str">
        <f t="shared" si="2"/>
        <v>Q2</v>
      </c>
      <c r="I21" s="3">
        <f t="shared" si="3"/>
        <v>4.8958234658828198E-3</v>
      </c>
      <c r="J21" s="3">
        <f t="shared" si="4"/>
        <v>1.5531055538873031E-4</v>
      </c>
      <c r="K21" s="3" t="str">
        <f t="shared" si="5"/>
        <v>Normal</v>
      </c>
      <c r="L21" s="4">
        <f>VALUE(A21)</f>
        <v>41423</v>
      </c>
    </row>
    <row r="22" spans="1:12">
      <c r="A22" s="5">
        <v>41424</v>
      </c>
      <c r="B22" s="3">
        <v>266.82998700000002</v>
      </c>
      <c r="C22" s="3">
        <v>56.015887999999997</v>
      </c>
      <c r="D22" s="3">
        <v>128.820007</v>
      </c>
      <c r="E22" s="3">
        <v>31.808571000000001</v>
      </c>
      <c r="F22" s="3">
        <f t="shared" si="0"/>
        <v>2013</v>
      </c>
      <c r="G22" s="3" t="str">
        <f t="shared" si="1"/>
        <v>May</v>
      </c>
      <c r="H22" s="3" t="str">
        <f t="shared" si="2"/>
        <v>Q2</v>
      </c>
      <c r="I22" s="3">
        <f t="shared" si="3"/>
        <v>8.8821538637634395E-3</v>
      </c>
      <c r="J22" s="3">
        <f t="shared" si="4"/>
        <v>3.7260982294466095E-3</v>
      </c>
      <c r="K22" s="3" t="str">
        <f t="shared" si="5"/>
        <v>Normal</v>
      </c>
      <c r="L22" s="4">
        <f>VALUE(A22)</f>
        <v>41424</v>
      </c>
    </row>
    <row r="23" spans="1:12">
      <c r="A23" s="5">
        <v>41425</v>
      </c>
      <c r="B23" s="3">
        <v>269.20001200000002</v>
      </c>
      <c r="C23" s="3">
        <v>55.528717</v>
      </c>
      <c r="D23" s="3">
        <v>129.300003</v>
      </c>
      <c r="E23" s="3">
        <v>32.321429999999999</v>
      </c>
      <c r="F23" s="3">
        <f t="shared" si="0"/>
        <v>2013</v>
      </c>
      <c r="G23" s="3" t="str">
        <f t="shared" si="1"/>
        <v>May</v>
      </c>
      <c r="H23" s="3" t="str">
        <f t="shared" si="2"/>
        <v>Q2</v>
      </c>
      <c r="I23" s="3">
        <f t="shared" si="3"/>
        <v>-8.6181534048372643E-3</v>
      </c>
      <c r="J23" s="3">
        <f t="shared" si="4"/>
        <v>-6.10982275073884E-2</v>
      </c>
      <c r="K23" s="3" t="str">
        <f t="shared" si="5"/>
        <v>High Volatility</v>
      </c>
      <c r="L23" s="4">
        <f>VALUE(A23)</f>
        <v>41425</v>
      </c>
    </row>
    <row r="24" spans="1:12">
      <c r="A24" s="5">
        <v>41428</v>
      </c>
      <c r="B24" s="3">
        <v>266.88000499999998</v>
      </c>
      <c r="C24" s="3">
        <v>55.950310000000002</v>
      </c>
      <c r="D24" s="3">
        <v>121.400002</v>
      </c>
      <c r="E24" s="3">
        <v>31.709999</v>
      </c>
      <c r="F24" s="3">
        <f t="shared" si="0"/>
        <v>2013</v>
      </c>
      <c r="G24" s="3" t="str">
        <f t="shared" si="1"/>
        <v>Jun</v>
      </c>
      <c r="H24" s="3" t="str">
        <f t="shared" si="2"/>
        <v>Q2</v>
      </c>
      <c r="I24" s="3">
        <f t="shared" si="3"/>
        <v>-4.421436517883637E-3</v>
      </c>
      <c r="J24" s="3">
        <f t="shared" si="4"/>
        <v>4.1186160771232933E-3</v>
      </c>
      <c r="K24" s="3" t="str">
        <f t="shared" si="5"/>
        <v>Normal</v>
      </c>
      <c r="L24" s="4">
        <f>VALUE(A24)</f>
        <v>41428</v>
      </c>
    </row>
    <row r="25" spans="1:12">
      <c r="A25" s="5">
        <v>41429</v>
      </c>
      <c r="B25" s="3">
        <v>265.70001200000002</v>
      </c>
      <c r="C25" s="3">
        <v>56.381283000000003</v>
      </c>
      <c r="D25" s="3">
        <v>121.900002</v>
      </c>
      <c r="E25" s="3">
        <v>32.187140999999997</v>
      </c>
      <c r="F25" s="3">
        <f t="shared" si="0"/>
        <v>2013</v>
      </c>
      <c r="G25" s="3" t="str">
        <f t="shared" si="1"/>
        <v>Jun</v>
      </c>
      <c r="H25" s="3" t="str">
        <f t="shared" si="2"/>
        <v>Q2</v>
      </c>
      <c r="I25" s="3">
        <f t="shared" si="3"/>
        <v>5.5325590275094446E-3</v>
      </c>
      <c r="J25" s="3">
        <f t="shared" si="4"/>
        <v>-2.4036102969054951E-2</v>
      </c>
      <c r="K25" s="3" t="str">
        <f t="shared" si="5"/>
        <v>Normal</v>
      </c>
      <c r="L25" s="4">
        <f>VALUE(A25)</f>
        <v>41429</v>
      </c>
    </row>
    <row r="26" spans="1:12">
      <c r="A26" s="5">
        <v>41430</v>
      </c>
      <c r="B26" s="3">
        <v>267.17001299999998</v>
      </c>
      <c r="C26" s="3">
        <v>54.666786000000002</v>
      </c>
      <c r="D26" s="3">
        <v>118.970001</v>
      </c>
      <c r="E26" s="3">
        <v>31.922857</v>
      </c>
      <c r="F26" s="3">
        <f t="shared" si="0"/>
        <v>2013</v>
      </c>
      <c r="G26" s="3" t="str">
        <f t="shared" si="1"/>
        <v>Jun</v>
      </c>
      <c r="H26" s="3" t="str">
        <f t="shared" si="2"/>
        <v>Q2</v>
      </c>
      <c r="I26" s="3">
        <f t="shared" si="3"/>
        <v>2.4702398019497565E-3</v>
      </c>
      <c r="J26" s="3">
        <f t="shared" si="4"/>
        <v>-6.6991686416813565E-2</v>
      </c>
      <c r="K26" s="3" t="str">
        <f t="shared" si="5"/>
        <v>High Volatility</v>
      </c>
      <c r="L26" s="4">
        <f>VALUE(A26)</f>
        <v>41430</v>
      </c>
    </row>
    <row r="27" spans="1:12">
      <c r="A27" s="5">
        <v>41431</v>
      </c>
      <c r="B27" s="3">
        <v>267.82998700000002</v>
      </c>
      <c r="C27" s="3">
        <v>55.697353</v>
      </c>
      <c r="D27" s="3">
        <v>111</v>
      </c>
      <c r="E27" s="3">
        <v>31.105715</v>
      </c>
      <c r="F27" s="3">
        <f t="shared" si="0"/>
        <v>2013</v>
      </c>
      <c r="G27" s="3" t="str">
        <f t="shared" si="1"/>
        <v>Jun</v>
      </c>
      <c r="H27" s="3" t="str">
        <f t="shared" si="2"/>
        <v>Q2</v>
      </c>
      <c r="I27" s="3">
        <f t="shared" si="3"/>
        <v>3.3752785120360701E-2</v>
      </c>
      <c r="J27" s="3">
        <f t="shared" si="4"/>
        <v>-2.8018027027027E-2</v>
      </c>
      <c r="K27" s="3" t="str">
        <f t="shared" si="5"/>
        <v>Normal</v>
      </c>
      <c r="L27" s="4">
        <f>VALUE(A27)</f>
        <v>41431</v>
      </c>
    </row>
    <row r="28" spans="1:12">
      <c r="A28" s="5">
        <v>41432</v>
      </c>
      <c r="B28" s="3">
        <v>276.86999500000002</v>
      </c>
      <c r="C28" s="3">
        <v>56.70919</v>
      </c>
      <c r="D28" s="3">
        <v>107.889999</v>
      </c>
      <c r="E28" s="3">
        <v>31.459999</v>
      </c>
      <c r="F28" s="3">
        <f t="shared" si="0"/>
        <v>2013</v>
      </c>
      <c r="G28" s="3" t="str">
        <f t="shared" si="1"/>
        <v>Jun</v>
      </c>
      <c r="H28" s="3" t="str">
        <f t="shared" si="2"/>
        <v>Q2</v>
      </c>
      <c r="I28" s="3">
        <f t="shared" si="3"/>
        <v>1.5169617783970987E-2</v>
      </c>
      <c r="J28" s="3">
        <f t="shared" si="4"/>
        <v>1.0288265921663388E-2</v>
      </c>
      <c r="K28" s="3" t="str">
        <f t="shared" si="5"/>
        <v>Normal</v>
      </c>
      <c r="L28" s="4">
        <f>VALUE(A28)</f>
        <v>41432</v>
      </c>
    </row>
    <row r="29" spans="1:12">
      <c r="A29" s="5">
        <v>41435</v>
      </c>
      <c r="B29" s="3">
        <v>281.07000699999998</v>
      </c>
      <c r="C29" s="3">
        <v>56.887188000000002</v>
      </c>
      <c r="D29" s="3">
        <v>109</v>
      </c>
      <c r="E29" s="3">
        <v>31.561427999999999</v>
      </c>
      <c r="F29" s="3">
        <f t="shared" si="0"/>
        <v>2013</v>
      </c>
      <c r="G29" s="3" t="str">
        <f t="shared" si="1"/>
        <v>Jun</v>
      </c>
      <c r="H29" s="3" t="str">
        <f t="shared" si="2"/>
        <v>Q2</v>
      </c>
      <c r="I29" s="3">
        <f t="shared" si="3"/>
        <v>-2.2378794760552309E-2</v>
      </c>
      <c r="J29" s="3">
        <f t="shared" si="4"/>
        <v>-2.018357798165104E-3</v>
      </c>
      <c r="K29" s="3" t="str">
        <f t="shared" si="5"/>
        <v>Normal</v>
      </c>
      <c r="L29" s="4">
        <f>VALUE(A29)</f>
        <v>41435</v>
      </c>
    </row>
    <row r="30" spans="1:12">
      <c r="A30" s="5">
        <v>41436</v>
      </c>
      <c r="B30" s="3">
        <v>274.77999899999998</v>
      </c>
      <c r="C30" s="3">
        <v>56.025264999999997</v>
      </c>
      <c r="D30" s="3">
        <v>108.779999</v>
      </c>
      <c r="E30" s="3">
        <v>30.637142000000001</v>
      </c>
      <c r="F30" s="3">
        <f t="shared" si="0"/>
        <v>2013</v>
      </c>
      <c r="G30" s="3" t="str">
        <f t="shared" si="1"/>
        <v>Jun</v>
      </c>
      <c r="H30" s="3" t="str">
        <f t="shared" si="2"/>
        <v>Q2</v>
      </c>
      <c r="I30" s="3">
        <f t="shared" si="3"/>
        <v>-1.1318094516770096E-2</v>
      </c>
      <c r="J30" s="3">
        <f t="shared" si="4"/>
        <v>-4.4401563195454775E-2</v>
      </c>
      <c r="K30" s="3" t="str">
        <f t="shared" si="5"/>
        <v>Normal</v>
      </c>
      <c r="L30" s="4">
        <f>VALUE(A30)</f>
        <v>41436</v>
      </c>
    </row>
    <row r="31" spans="1:12">
      <c r="A31" s="5">
        <v>41437</v>
      </c>
      <c r="B31" s="3">
        <v>271.67001299999998</v>
      </c>
      <c r="C31" s="3">
        <v>55.865456000000002</v>
      </c>
      <c r="D31" s="3">
        <v>103.949997</v>
      </c>
      <c r="E31" s="3">
        <v>29.662856999999999</v>
      </c>
      <c r="F31" s="3">
        <f t="shared" si="0"/>
        <v>2013</v>
      </c>
      <c r="G31" s="3" t="str">
        <f t="shared" si="1"/>
        <v>Jun</v>
      </c>
      <c r="H31" s="3" t="str">
        <f t="shared" si="2"/>
        <v>Q2</v>
      </c>
      <c r="I31" s="3">
        <f t="shared" si="3"/>
        <v>1.5165442643093682E-2</v>
      </c>
      <c r="J31" s="3">
        <f t="shared" si="4"/>
        <v>-3.7999010235661636E-2</v>
      </c>
      <c r="K31" s="3" t="str">
        <f t="shared" si="5"/>
        <v>Normal</v>
      </c>
      <c r="L31" s="4">
        <f>VALUE(A31)</f>
        <v>41437</v>
      </c>
    </row>
    <row r="32" spans="1:12">
      <c r="A32" s="5">
        <v>41438</v>
      </c>
      <c r="B32" s="3">
        <v>275.790009</v>
      </c>
      <c r="C32" s="3">
        <v>56.420074</v>
      </c>
      <c r="D32" s="3">
        <v>100</v>
      </c>
      <c r="E32" s="3">
        <v>30.77</v>
      </c>
      <c r="F32" s="3">
        <f t="shared" si="0"/>
        <v>2013</v>
      </c>
      <c r="G32" s="3" t="str">
        <f t="shared" si="1"/>
        <v>Jun</v>
      </c>
      <c r="H32" s="3" t="str">
        <f t="shared" si="2"/>
        <v>Q2</v>
      </c>
      <c r="I32" s="3">
        <f t="shared" si="3"/>
        <v>-6.5267737817145521E-3</v>
      </c>
      <c r="J32" s="3">
        <f t="shared" si="4"/>
        <v>-1.9999699999999621E-3</v>
      </c>
      <c r="K32" s="3" t="str">
        <f t="shared" si="5"/>
        <v>Normal</v>
      </c>
      <c r="L32" s="4">
        <f>VALUE(A32)</f>
        <v>41438</v>
      </c>
    </row>
    <row r="33" spans="1:12">
      <c r="A33" s="5">
        <v>41439</v>
      </c>
      <c r="B33" s="3">
        <v>273.98998999999998</v>
      </c>
      <c r="C33" s="3">
        <v>56.015853999999997</v>
      </c>
      <c r="D33" s="3">
        <v>99.800003000000004</v>
      </c>
      <c r="E33" s="3">
        <v>30.57</v>
      </c>
      <c r="F33" s="3">
        <f t="shared" si="0"/>
        <v>2013</v>
      </c>
      <c r="G33" s="3" t="str">
        <f t="shared" si="1"/>
        <v>Jun</v>
      </c>
      <c r="H33" s="3" t="str">
        <f t="shared" si="2"/>
        <v>Q2</v>
      </c>
      <c r="I33" s="3">
        <f t="shared" si="3"/>
        <v>1.4854586475951293E-2</v>
      </c>
      <c r="J33" s="3">
        <f t="shared" si="4"/>
        <v>7.5651250230924297E-2</v>
      </c>
      <c r="K33" s="3" t="str">
        <f t="shared" si="5"/>
        <v>High Volatility</v>
      </c>
      <c r="L33" s="4">
        <f>VALUE(A33)</f>
        <v>41439</v>
      </c>
    </row>
    <row r="34" spans="1:12">
      <c r="A34" s="5">
        <v>41442</v>
      </c>
      <c r="B34" s="3">
        <v>278.05999800000001</v>
      </c>
      <c r="C34" s="3">
        <v>55.978259999999999</v>
      </c>
      <c r="D34" s="3">
        <v>107.349998</v>
      </c>
      <c r="E34" s="3">
        <v>32.747143000000001</v>
      </c>
      <c r="F34" s="3">
        <f t="shared" si="0"/>
        <v>2013</v>
      </c>
      <c r="G34" s="3" t="str">
        <f t="shared" si="1"/>
        <v>Jun</v>
      </c>
      <c r="H34" s="3" t="str">
        <f t="shared" si="2"/>
        <v>Q2</v>
      </c>
      <c r="I34" s="3">
        <f t="shared" si="3"/>
        <v>1.3306523867557587E-2</v>
      </c>
      <c r="J34" s="3">
        <f t="shared" si="4"/>
        <v>8.3838101235921836E-3</v>
      </c>
      <c r="K34" s="3" t="str">
        <f t="shared" si="5"/>
        <v>Normal</v>
      </c>
      <c r="L34" s="4">
        <f>VALUE(A34)</f>
        <v>41442</v>
      </c>
    </row>
    <row r="35" spans="1:12">
      <c r="A35" s="5">
        <v>41443</v>
      </c>
      <c r="B35" s="3">
        <v>281.76001000000002</v>
      </c>
      <c r="C35" s="3">
        <v>56.814877000000003</v>
      </c>
      <c r="D35" s="3">
        <v>108.25</v>
      </c>
      <c r="E35" s="3">
        <v>32.689999</v>
      </c>
      <c r="F35" s="3">
        <f t="shared" si="0"/>
        <v>2013</v>
      </c>
      <c r="G35" s="3" t="str">
        <f t="shared" si="1"/>
        <v>Jun</v>
      </c>
      <c r="H35" s="3" t="str">
        <f t="shared" si="2"/>
        <v>Q2</v>
      </c>
      <c r="I35" s="3">
        <f t="shared" si="3"/>
        <v>-1.2776852187079378E-2</v>
      </c>
      <c r="J35" s="3">
        <f t="shared" si="4"/>
        <v>2.8083150115473476E-2</v>
      </c>
      <c r="K35" s="3" t="str">
        <f t="shared" si="5"/>
        <v>Normal</v>
      </c>
      <c r="L35" s="4">
        <f>VALUE(A35)</f>
        <v>41443</v>
      </c>
    </row>
    <row r="36" spans="1:12">
      <c r="A36" s="5">
        <v>41444</v>
      </c>
      <c r="B36" s="3">
        <v>278.16000400000001</v>
      </c>
      <c r="C36" s="3">
        <v>56.185054999999998</v>
      </c>
      <c r="D36" s="3">
        <v>111.290001</v>
      </c>
      <c r="E36" s="3">
        <v>33.187140999999997</v>
      </c>
      <c r="F36" s="3">
        <f t="shared" si="0"/>
        <v>2013</v>
      </c>
      <c r="G36" s="3" t="str">
        <f t="shared" si="1"/>
        <v>Jun</v>
      </c>
      <c r="H36" s="3" t="str">
        <f t="shared" si="2"/>
        <v>Q2</v>
      </c>
      <c r="I36" s="3">
        <f t="shared" si="3"/>
        <v>-1.696865808213039E-2</v>
      </c>
      <c r="J36" s="3">
        <f t="shared" si="4"/>
        <v>-1.6084113432616499E-2</v>
      </c>
      <c r="K36" s="3" t="str">
        <f t="shared" si="5"/>
        <v>Normal</v>
      </c>
      <c r="L36" s="4">
        <f>VALUE(A36)</f>
        <v>41444</v>
      </c>
    </row>
    <row r="37" spans="1:12">
      <c r="A37" s="5">
        <v>41445</v>
      </c>
      <c r="B37" s="3">
        <v>273.44000199999999</v>
      </c>
      <c r="C37" s="3">
        <v>54.079425999999998</v>
      </c>
      <c r="D37" s="3">
        <v>109.5</v>
      </c>
      <c r="E37" s="3">
        <v>31.931429000000001</v>
      </c>
      <c r="F37" s="3">
        <f t="shared" si="0"/>
        <v>2013</v>
      </c>
      <c r="G37" s="3" t="str">
        <f t="shared" si="1"/>
        <v>Jun</v>
      </c>
      <c r="H37" s="3" t="str">
        <f t="shared" si="2"/>
        <v>Q2</v>
      </c>
      <c r="I37" s="3">
        <f t="shared" si="3"/>
        <v>-2.9263092237688765E-4</v>
      </c>
      <c r="J37" s="3">
        <f t="shared" si="4"/>
        <v>-1.1872173515981769E-2</v>
      </c>
      <c r="K37" s="3" t="str">
        <f t="shared" si="5"/>
        <v>Normal</v>
      </c>
      <c r="L37" s="4">
        <f>VALUE(A37)</f>
        <v>41445</v>
      </c>
    </row>
    <row r="38" spans="1:12">
      <c r="A38" s="5">
        <v>41446</v>
      </c>
      <c r="B38" s="3">
        <v>273.35998499999999</v>
      </c>
      <c r="C38" s="3">
        <v>54.051205000000003</v>
      </c>
      <c r="D38" s="3">
        <v>108.199997</v>
      </c>
      <c r="E38" s="3">
        <v>30.985714000000002</v>
      </c>
      <c r="F38" s="3">
        <f t="shared" si="0"/>
        <v>2013</v>
      </c>
      <c r="G38" s="3" t="str">
        <f t="shared" si="1"/>
        <v>Jun</v>
      </c>
      <c r="H38" s="3" t="str">
        <f t="shared" si="2"/>
        <v>Q2</v>
      </c>
      <c r="I38" s="3">
        <f t="shared" si="3"/>
        <v>-1.0059994698931521E-2</v>
      </c>
      <c r="J38" s="3">
        <f t="shared" si="4"/>
        <v>-4.5009197181401062E-2</v>
      </c>
      <c r="K38" s="3" t="str">
        <f t="shared" si="5"/>
        <v>Normal</v>
      </c>
      <c r="L38" s="4">
        <f>VALUE(A38)</f>
        <v>41446</v>
      </c>
    </row>
    <row r="39" spans="1:12">
      <c r="A39" s="5">
        <v>41449</v>
      </c>
      <c r="B39" s="3">
        <v>270.60998499999999</v>
      </c>
      <c r="C39" s="3">
        <v>53.590603000000002</v>
      </c>
      <c r="D39" s="3">
        <v>103.33000199999999</v>
      </c>
      <c r="E39" s="3">
        <v>30.799999</v>
      </c>
      <c r="F39" s="3">
        <f t="shared" si="0"/>
        <v>2013</v>
      </c>
      <c r="G39" s="3" t="str">
        <f t="shared" si="1"/>
        <v>Jun</v>
      </c>
      <c r="H39" s="3" t="str">
        <f t="shared" si="2"/>
        <v>Q2</v>
      </c>
      <c r="I39" s="3">
        <f t="shared" si="3"/>
        <v>5.4691662615479267E-3</v>
      </c>
      <c r="J39" s="3">
        <f t="shared" si="4"/>
        <v>6.4840606506521388E-3</v>
      </c>
      <c r="K39" s="3" t="str">
        <f t="shared" si="5"/>
        <v>Normal</v>
      </c>
      <c r="L39" s="4">
        <f>VALUE(A39)</f>
        <v>41449</v>
      </c>
    </row>
    <row r="40" spans="1:12">
      <c r="A40" s="5">
        <v>41450</v>
      </c>
      <c r="B40" s="3">
        <v>272.08999599999999</v>
      </c>
      <c r="C40" s="3">
        <v>54.117012000000003</v>
      </c>
      <c r="D40" s="3">
        <v>104</v>
      </c>
      <c r="E40" s="3">
        <v>30.414286000000001</v>
      </c>
      <c r="F40" s="3">
        <f t="shared" si="0"/>
        <v>2013</v>
      </c>
      <c r="G40" s="3" t="str">
        <f t="shared" si="1"/>
        <v>Jun</v>
      </c>
      <c r="H40" s="3" t="str">
        <f t="shared" si="2"/>
        <v>Q2</v>
      </c>
      <c r="I40" s="3">
        <f t="shared" si="3"/>
        <v>2.0140435446219018E-2</v>
      </c>
      <c r="J40" s="3">
        <f t="shared" si="4"/>
        <v>-2.1730788461538461E-2</v>
      </c>
      <c r="K40" s="3" t="str">
        <f t="shared" si="5"/>
        <v>Normal</v>
      </c>
      <c r="L40" s="4">
        <f>VALUE(A40)</f>
        <v>41450</v>
      </c>
    </row>
    <row r="41" spans="1:12">
      <c r="A41" s="5">
        <v>41451</v>
      </c>
      <c r="B41" s="3">
        <v>277.57000699999998</v>
      </c>
      <c r="C41" s="3">
        <v>54.229813</v>
      </c>
      <c r="D41" s="3">
        <v>101.739998</v>
      </c>
      <c r="E41" s="3">
        <v>30.299999</v>
      </c>
      <c r="F41" s="3">
        <f t="shared" si="0"/>
        <v>2013</v>
      </c>
      <c r="G41" s="3" t="str">
        <f t="shared" si="1"/>
        <v>Jun</v>
      </c>
      <c r="H41" s="3" t="str">
        <f t="shared" si="2"/>
        <v>Q2</v>
      </c>
      <c r="I41" s="3">
        <f t="shared" si="3"/>
        <v>-7.2122345697064763E-5</v>
      </c>
      <c r="J41" s="3">
        <f t="shared" si="4"/>
        <v>-6.9589091204817988E-2</v>
      </c>
      <c r="K41" s="3" t="str">
        <f t="shared" si="5"/>
        <v>High Volatility</v>
      </c>
      <c r="L41" s="4">
        <f>VALUE(A41)</f>
        <v>41451</v>
      </c>
    </row>
    <row r="42" spans="1:12">
      <c r="A42" s="5">
        <v>41452</v>
      </c>
      <c r="B42" s="3">
        <v>277.54998799999998</v>
      </c>
      <c r="C42" s="3">
        <v>55.273243000000001</v>
      </c>
      <c r="D42" s="3">
        <v>94.660004000000001</v>
      </c>
      <c r="E42" s="3">
        <v>30.709999</v>
      </c>
      <c r="F42" s="3">
        <f t="shared" si="0"/>
        <v>2013</v>
      </c>
      <c r="G42" s="3" t="str">
        <f t="shared" si="1"/>
        <v>Jun</v>
      </c>
      <c r="H42" s="3" t="str">
        <f t="shared" si="2"/>
        <v>Q2</v>
      </c>
      <c r="I42" s="3">
        <f t="shared" si="3"/>
        <v>5.0446408234039583E-4</v>
      </c>
      <c r="J42" s="3">
        <f t="shared" si="4"/>
        <v>3.5917598313222054E-3</v>
      </c>
      <c r="K42" s="3" t="str">
        <f t="shared" si="5"/>
        <v>Normal</v>
      </c>
      <c r="L42" s="4">
        <f>VALUE(A42)</f>
        <v>41452</v>
      </c>
    </row>
    <row r="43" spans="1:12">
      <c r="A43" s="5">
        <v>41453</v>
      </c>
      <c r="B43" s="3">
        <v>277.69000199999999</v>
      </c>
      <c r="C43" s="3">
        <v>54.662239</v>
      </c>
      <c r="D43" s="3">
        <v>95</v>
      </c>
      <c r="E43" s="3">
        <v>30.155714</v>
      </c>
      <c r="F43" s="3">
        <f t="shared" si="0"/>
        <v>2013</v>
      </c>
      <c r="G43" s="3" t="str">
        <f t="shared" si="1"/>
        <v>Jun</v>
      </c>
      <c r="H43" s="3" t="str">
        <f t="shared" si="2"/>
        <v>Q2</v>
      </c>
      <c r="I43" s="3">
        <f t="shared" si="3"/>
        <v>1.5881032691987287E-2</v>
      </c>
      <c r="J43" s="3">
        <f t="shared" si="4"/>
        <v>-4.8315747368421043E-2</v>
      </c>
      <c r="K43" s="3" t="str">
        <f t="shared" si="5"/>
        <v>Normal</v>
      </c>
      <c r="L43" s="4">
        <f>VALUE(A43)</f>
        <v>41453</v>
      </c>
    </row>
    <row r="44" spans="1:12">
      <c r="A44" s="5">
        <v>41456</v>
      </c>
      <c r="B44" s="3">
        <v>282.10000600000001</v>
      </c>
      <c r="C44" s="3">
        <v>56.316673000000002</v>
      </c>
      <c r="D44" s="3">
        <v>90.410004000000001</v>
      </c>
      <c r="E44" s="3">
        <v>32.040000999999997</v>
      </c>
      <c r="F44" s="3">
        <f t="shared" si="0"/>
        <v>2013</v>
      </c>
      <c r="G44" s="3" t="str">
        <f t="shared" si="1"/>
        <v>Jul</v>
      </c>
      <c r="H44" s="3" t="str">
        <f t="shared" si="2"/>
        <v>Q3</v>
      </c>
      <c r="I44" s="3">
        <f t="shared" si="3"/>
        <v>5.7781104761833388E-3</v>
      </c>
      <c r="J44" s="3">
        <f t="shared" si="4"/>
        <v>-0.12741958290367952</v>
      </c>
      <c r="K44" s="3" t="str">
        <f t="shared" si="5"/>
        <v>High Volatility</v>
      </c>
      <c r="L44" s="4">
        <f>VALUE(A44)</f>
        <v>41456</v>
      </c>
    </row>
    <row r="45" spans="1:12">
      <c r="A45" s="5">
        <v>41457</v>
      </c>
      <c r="B45" s="3">
        <v>283.73001099999999</v>
      </c>
      <c r="C45" s="3">
        <v>56.532871</v>
      </c>
      <c r="D45" s="3">
        <v>78.889999000000003</v>
      </c>
      <c r="E45" s="3">
        <v>31.637142000000001</v>
      </c>
      <c r="F45" s="3">
        <f t="shared" si="0"/>
        <v>2013</v>
      </c>
      <c r="G45" s="3" t="str">
        <f t="shared" si="1"/>
        <v>Jul</v>
      </c>
      <c r="H45" s="3" t="str">
        <f t="shared" si="2"/>
        <v>Q3</v>
      </c>
      <c r="I45" s="3">
        <f t="shared" si="3"/>
        <v>1.0573009141425819E-3</v>
      </c>
      <c r="J45" s="3">
        <f t="shared" si="4"/>
        <v>1.4577285011754159E-2</v>
      </c>
      <c r="K45" s="3" t="str">
        <f t="shared" si="5"/>
        <v>Normal</v>
      </c>
      <c r="L45" s="4">
        <f>VALUE(A45)</f>
        <v>41457</v>
      </c>
    </row>
    <row r="46" spans="1:12">
      <c r="A46" s="5">
        <v>41458</v>
      </c>
      <c r="B46" s="3">
        <v>284.02999899999998</v>
      </c>
      <c r="C46" s="3">
        <v>56.617469999999997</v>
      </c>
      <c r="D46" s="3">
        <v>80.040001000000004</v>
      </c>
      <c r="E46" s="3">
        <v>31.558571000000001</v>
      </c>
      <c r="F46" s="3">
        <f t="shared" si="0"/>
        <v>2013</v>
      </c>
      <c r="G46" s="3" t="str">
        <f t="shared" si="1"/>
        <v>Jul</v>
      </c>
      <c r="H46" s="3" t="str">
        <f t="shared" si="2"/>
        <v>Q3</v>
      </c>
      <c r="I46" s="3">
        <f t="shared" si="3"/>
        <v>6.5134176196649136E-3</v>
      </c>
      <c r="J46" s="3">
        <f t="shared" si="4"/>
        <v>-0.12968511831977617</v>
      </c>
      <c r="K46" s="3" t="str">
        <f t="shared" si="5"/>
        <v>High Volatility</v>
      </c>
      <c r="L46" s="4">
        <f>VALUE(A46)</f>
        <v>41458</v>
      </c>
    </row>
    <row r="47" spans="1:12">
      <c r="A47" s="5">
        <v>41460</v>
      </c>
      <c r="B47" s="3">
        <v>285.88000499999998</v>
      </c>
      <c r="C47" s="3">
        <v>57.350689000000003</v>
      </c>
      <c r="D47" s="3">
        <v>69.660004000000001</v>
      </c>
      <c r="E47" s="3">
        <v>32.157142999999998</v>
      </c>
      <c r="F47" s="3">
        <f t="shared" si="0"/>
        <v>2013</v>
      </c>
      <c r="G47" s="3" t="str">
        <f t="shared" si="1"/>
        <v>Jul</v>
      </c>
      <c r="H47" s="3" t="str">
        <f t="shared" si="2"/>
        <v>Q3</v>
      </c>
      <c r="I47" s="3">
        <f t="shared" si="3"/>
        <v>1.6475412472446271E-2</v>
      </c>
      <c r="J47" s="3">
        <f t="shared" si="4"/>
        <v>0.10106219632143569</v>
      </c>
      <c r="K47" s="3" t="str">
        <f t="shared" si="5"/>
        <v>High Volatility</v>
      </c>
      <c r="L47" s="4">
        <f>VALUE(A47)</f>
        <v>41460</v>
      </c>
    </row>
    <row r="48" spans="1:12">
      <c r="A48" s="5">
        <v>41463</v>
      </c>
      <c r="B48" s="3">
        <v>290.58999599999999</v>
      </c>
      <c r="C48" s="3">
        <v>57.510494000000001</v>
      </c>
      <c r="D48" s="3">
        <v>76.699996999999996</v>
      </c>
      <c r="E48" s="3">
        <v>33.299999</v>
      </c>
      <c r="F48" s="3">
        <f t="shared" si="0"/>
        <v>2013</v>
      </c>
      <c r="G48" s="3" t="str">
        <f t="shared" si="1"/>
        <v>Jul</v>
      </c>
      <c r="H48" s="3" t="str">
        <f t="shared" si="2"/>
        <v>Q3</v>
      </c>
      <c r="I48" s="3">
        <f t="shared" si="3"/>
        <v>3.2348085375932564E-3</v>
      </c>
      <c r="J48" s="3">
        <f t="shared" si="4"/>
        <v>0.14732729389806892</v>
      </c>
      <c r="K48" s="3" t="str">
        <f t="shared" si="5"/>
        <v>High Volatility</v>
      </c>
      <c r="L48" s="4">
        <f>VALUE(A48)</f>
        <v>41463</v>
      </c>
    </row>
    <row r="49" spans="1:12">
      <c r="A49" s="5">
        <v>41464</v>
      </c>
      <c r="B49" s="3">
        <v>291.52999899999998</v>
      </c>
      <c r="C49" s="3">
        <v>58.412917999999998</v>
      </c>
      <c r="D49" s="3">
        <v>88</v>
      </c>
      <c r="E49" s="3">
        <v>35.340000000000003</v>
      </c>
      <c r="F49" s="3">
        <f t="shared" si="0"/>
        <v>2013</v>
      </c>
      <c r="G49" s="3" t="str">
        <f t="shared" si="1"/>
        <v>Jul</v>
      </c>
      <c r="H49" s="3" t="str">
        <f t="shared" si="2"/>
        <v>Q3</v>
      </c>
      <c r="I49" s="3">
        <f t="shared" si="3"/>
        <v>2.7441018171170842E-3</v>
      </c>
      <c r="J49" s="3">
        <f t="shared" si="4"/>
        <v>1.1136397727272686E-2</v>
      </c>
      <c r="K49" s="3" t="str">
        <f t="shared" si="5"/>
        <v>Normal</v>
      </c>
      <c r="L49" s="4">
        <f>VALUE(A49)</f>
        <v>41464</v>
      </c>
    </row>
    <row r="50" spans="1:12">
      <c r="A50" s="5">
        <v>41465</v>
      </c>
      <c r="B50" s="3">
        <v>292.32998700000002</v>
      </c>
      <c r="C50" s="3">
        <v>58.506920000000001</v>
      </c>
      <c r="D50" s="3">
        <v>88.980002999999996</v>
      </c>
      <c r="E50" s="3">
        <v>34.831429</v>
      </c>
      <c r="F50" s="3">
        <f t="shared" si="0"/>
        <v>2013</v>
      </c>
      <c r="G50" s="3" t="str">
        <f t="shared" si="1"/>
        <v>Jul</v>
      </c>
      <c r="H50" s="3" t="str">
        <f t="shared" si="2"/>
        <v>Q3</v>
      </c>
      <c r="I50" s="3">
        <f t="shared" si="3"/>
        <v>2.5074461485198225E-2</v>
      </c>
      <c r="J50" s="3">
        <f t="shared" si="4"/>
        <v>5.6304729501975896E-2</v>
      </c>
      <c r="K50" s="3" t="str">
        <f t="shared" si="5"/>
        <v>High Volatility</v>
      </c>
      <c r="L50" s="4">
        <f>VALUE(A50)</f>
        <v>41465</v>
      </c>
    </row>
    <row r="51" spans="1:12">
      <c r="A51" s="5">
        <v>41466</v>
      </c>
      <c r="B51" s="3">
        <v>299.66000400000001</v>
      </c>
      <c r="C51" s="3">
        <v>59.221333000000001</v>
      </c>
      <c r="D51" s="3">
        <v>93.989998</v>
      </c>
      <c r="E51" s="3">
        <v>34.881428</v>
      </c>
      <c r="F51" s="3">
        <f t="shared" si="0"/>
        <v>2013</v>
      </c>
      <c r="G51" s="3" t="str">
        <f t="shared" si="1"/>
        <v>Jul</v>
      </c>
      <c r="H51" s="3" t="str">
        <f t="shared" si="2"/>
        <v>Q3</v>
      </c>
      <c r="I51" s="3">
        <f t="shared" si="3"/>
        <v>2.6329786740575394E-2</v>
      </c>
      <c r="J51" s="3">
        <f t="shared" si="4"/>
        <v>4.6068752975183522E-2</v>
      </c>
      <c r="K51" s="3" t="str">
        <f t="shared" si="5"/>
        <v>Normal</v>
      </c>
      <c r="L51" s="4">
        <f>VALUE(A51)</f>
        <v>41466</v>
      </c>
    </row>
    <row r="52" spans="1:12">
      <c r="A52" s="5">
        <v>41467</v>
      </c>
      <c r="B52" s="3">
        <v>307.54998799999998</v>
      </c>
      <c r="C52" s="3">
        <v>59.53154</v>
      </c>
      <c r="D52" s="3">
        <v>98.32</v>
      </c>
      <c r="E52" s="3">
        <v>36.751427</v>
      </c>
      <c r="F52" s="3">
        <f t="shared" si="0"/>
        <v>2013</v>
      </c>
      <c r="G52" s="3" t="str">
        <f t="shared" si="1"/>
        <v>Jul</v>
      </c>
      <c r="H52" s="3" t="str">
        <f t="shared" si="2"/>
        <v>Q3</v>
      </c>
      <c r="I52" s="3">
        <f t="shared" si="3"/>
        <v>-3.1864120898616628E-3</v>
      </c>
      <c r="J52" s="3">
        <f t="shared" si="4"/>
        <v>-1.240848250610246E-2</v>
      </c>
      <c r="K52" s="3" t="str">
        <f t="shared" si="5"/>
        <v>Normal</v>
      </c>
      <c r="L52" s="4">
        <f>VALUE(A52)</f>
        <v>41467</v>
      </c>
    </row>
    <row r="53" spans="1:12">
      <c r="A53" s="5">
        <v>41470</v>
      </c>
      <c r="B53" s="3">
        <v>306.57000699999998</v>
      </c>
      <c r="C53" s="3">
        <v>59.794746000000004</v>
      </c>
      <c r="D53" s="3">
        <v>97.099997999999999</v>
      </c>
      <c r="E53" s="3">
        <v>36.854286000000002</v>
      </c>
      <c r="F53" s="3">
        <f t="shared" si="0"/>
        <v>2013</v>
      </c>
      <c r="G53" s="3" t="str">
        <f t="shared" si="1"/>
        <v>Jul</v>
      </c>
      <c r="H53" s="3" t="str">
        <f t="shared" si="2"/>
        <v>Q3</v>
      </c>
      <c r="I53" s="3">
        <f t="shared" si="3"/>
        <v>9.7853016652095937E-4</v>
      </c>
      <c r="J53" s="3">
        <f t="shared" si="4"/>
        <v>1.441814653796389E-2</v>
      </c>
      <c r="K53" s="3" t="str">
        <f t="shared" si="5"/>
        <v>Normal</v>
      </c>
      <c r="L53" s="4">
        <f>VALUE(A53)</f>
        <v>41470</v>
      </c>
    </row>
    <row r="54" spans="1:12">
      <c r="A54" s="5">
        <v>41471</v>
      </c>
      <c r="B54" s="3">
        <v>306.86999500000002</v>
      </c>
      <c r="C54" s="3">
        <v>59.371735000000001</v>
      </c>
      <c r="D54" s="3">
        <v>98.5</v>
      </c>
      <c r="E54" s="3">
        <v>37.21143</v>
      </c>
      <c r="F54" s="3">
        <f t="shared" si="0"/>
        <v>2013</v>
      </c>
      <c r="G54" s="3" t="str">
        <f t="shared" si="1"/>
        <v>Jul</v>
      </c>
      <c r="H54" s="3" t="str">
        <f t="shared" si="2"/>
        <v>Q3</v>
      </c>
      <c r="I54" s="3">
        <f t="shared" si="3"/>
        <v>5.9308731047490503E-3</v>
      </c>
      <c r="J54" s="3">
        <f t="shared" si="4"/>
        <v>-8.5583756345177731E-2</v>
      </c>
      <c r="K54" s="3" t="str">
        <f t="shared" si="5"/>
        <v>High Volatility</v>
      </c>
      <c r="L54" s="4">
        <f>VALUE(A54)</f>
        <v>41471</v>
      </c>
    </row>
    <row r="55" spans="1:12">
      <c r="A55" s="5">
        <v>41472</v>
      </c>
      <c r="B55" s="3">
        <v>308.69000199999999</v>
      </c>
      <c r="C55" s="3">
        <v>59.268329999999999</v>
      </c>
      <c r="D55" s="3">
        <v>90.07</v>
      </c>
      <c r="E55" s="3">
        <v>38.274284000000002</v>
      </c>
      <c r="F55" s="3">
        <f t="shared" si="0"/>
        <v>2013</v>
      </c>
      <c r="G55" s="3" t="str">
        <f t="shared" si="1"/>
        <v>Jul</v>
      </c>
      <c r="H55" s="3" t="str">
        <f t="shared" si="2"/>
        <v>Q3</v>
      </c>
      <c r="I55" s="3">
        <f t="shared" si="3"/>
        <v>-1.4836946355003744E-2</v>
      </c>
      <c r="J55" s="3">
        <f t="shared" si="4"/>
        <v>2.142777839458207E-2</v>
      </c>
      <c r="K55" s="3" t="str">
        <f t="shared" si="5"/>
        <v>Normal</v>
      </c>
      <c r="L55" s="4">
        <f>VALUE(A55)</f>
        <v>41472</v>
      </c>
    </row>
    <row r="56" spans="1:12">
      <c r="A56" s="5">
        <v>41473</v>
      </c>
      <c r="B56" s="3">
        <v>304.10998499999999</v>
      </c>
      <c r="C56" s="3">
        <v>60.114348999999997</v>
      </c>
      <c r="D56" s="3">
        <v>92</v>
      </c>
      <c r="E56" s="3">
        <v>38.058571000000001</v>
      </c>
      <c r="F56" s="3">
        <f t="shared" si="0"/>
        <v>2013</v>
      </c>
      <c r="G56" s="3" t="str">
        <f t="shared" si="1"/>
        <v>Jul</v>
      </c>
      <c r="H56" s="3" t="str">
        <f t="shared" si="2"/>
        <v>Q3</v>
      </c>
      <c r="I56" s="3">
        <f t="shared" si="3"/>
        <v>3.6829635830602399E-3</v>
      </c>
      <c r="J56" s="3">
        <f t="shared" si="4"/>
        <v>-2.3695652173913118E-2</v>
      </c>
      <c r="K56" s="3" t="str">
        <f t="shared" si="5"/>
        <v>Normal</v>
      </c>
      <c r="L56" s="4">
        <f>VALUE(A56)</f>
        <v>41473</v>
      </c>
    </row>
    <row r="57" spans="1:12">
      <c r="A57" s="5">
        <v>41474</v>
      </c>
      <c r="B57" s="3">
        <v>305.23001099999999</v>
      </c>
      <c r="C57" s="3">
        <v>59.766559999999998</v>
      </c>
      <c r="D57" s="3">
        <v>89.82</v>
      </c>
      <c r="E57" s="3">
        <v>37.797142000000001</v>
      </c>
      <c r="F57" s="3">
        <f t="shared" si="0"/>
        <v>2013</v>
      </c>
      <c r="G57" s="3" t="str">
        <f t="shared" si="1"/>
        <v>Jul</v>
      </c>
      <c r="H57" s="3" t="str">
        <f t="shared" si="2"/>
        <v>Q3</v>
      </c>
      <c r="I57" s="3">
        <f t="shared" si="3"/>
        <v>-5.7333811779078309E-3</v>
      </c>
      <c r="J57" s="3">
        <f t="shared" si="4"/>
        <v>6.3905566688933421E-2</v>
      </c>
      <c r="K57" s="3" t="str">
        <f t="shared" si="5"/>
        <v>High Volatility</v>
      </c>
      <c r="L57" s="4">
        <f>VALUE(A57)</f>
        <v>41474</v>
      </c>
    </row>
    <row r="58" spans="1:12">
      <c r="A58" s="5">
        <v>41477</v>
      </c>
      <c r="B58" s="3">
        <v>303.48001099999999</v>
      </c>
      <c r="C58" s="3">
        <v>59.794746000000004</v>
      </c>
      <c r="D58" s="3">
        <v>95.559997999999993</v>
      </c>
      <c r="E58" s="3">
        <v>37.422854999999998</v>
      </c>
      <c r="F58" s="3">
        <f t="shared" si="0"/>
        <v>2013</v>
      </c>
      <c r="G58" s="3" t="str">
        <f t="shared" si="1"/>
        <v>Jul</v>
      </c>
      <c r="H58" s="3" t="str">
        <f t="shared" si="2"/>
        <v>Q3</v>
      </c>
      <c r="I58" s="3">
        <f t="shared" si="3"/>
        <v>-7.9742088845514876E-3</v>
      </c>
      <c r="J58" s="3">
        <f t="shared" si="4"/>
        <v>-4.9183969216909556E-3</v>
      </c>
      <c r="K58" s="3" t="str">
        <f t="shared" si="5"/>
        <v>Normal</v>
      </c>
      <c r="L58" s="4">
        <f>VALUE(A58)</f>
        <v>41477</v>
      </c>
    </row>
    <row r="59" spans="1:12">
      <c r="A59" s="5">
        <v>41478</v>
      </c>
      <c r="B59" s="3">
        <v>301.05999800000001</v>
      </c>
      <c r="C59" s="3">
        <v>55.865456000000002</v>
      </c>
      <c r="D59" s="3">
        <v>95.089995999999999</v>
      </c>
      <c r="E59" s="3">
        <v>35.751427</v>
      </c>
      <c r="F59" s="3">
        <f t="shared" si="0"/>
        <v>2013</v>
      </c>
      <c r="G59" s="3" t="str">
        <f t="shared" si="1"/>
        <v>Jul</v>
      </c>
      <c r="H59" s="3" t="str">
        <f t="shared" si="2"/>
        <v>Q3</v>
      </c>
      <c r="I59" s="3">
        <f t="shared" si="3"/>
        <v>-7.0417724509518349E-3</v>
      </c>
      <c r="J59" s="3">
        <f t="shared" si="4"/>
        <v>1.9560427786746326E-2</v>
      </c>
      <c r="K59" s="3" t="str">
        <f t="shared" si="5"/>
        <v>Normal</v>
      </c>
      <c r="L59" s="4">
        <f>VALUE(A59)</f>
        <v>41478</v>
      </c>
    </row>
    <row r="60" spans="1:12">
      <c r="A60" s="5">
        <v>41479</v>
      </c>
      <c r="B60" s="3">
        <v>298.94000199999999</v>
      </c>
      <c r="C60" s="3">
        <v>57.350689000000003</v>
      </c>
      <c r="D60" s="3">
        <v>96.949996999999996</v>
      </c>
      <c r="E60" s="3">
        <v>34.471428000000003</v>
      </c>
      <c r="F60" s="3">
        <f t="shared" si="0"/>
        <v>2013</v>
      </c>
      <c r="G60" s="3" t="str">
        <f t="shared" si="1"/>
        <v>Jul</v>
      </c>
      <c r="H60" s="3" t="str">
        <f t="shared" si="2"/>
        <v>Q3</v>
      </c>
      <c r="I60" s="3">
        <f t="shared" si="3"/>
        <v>1.4919354954710945E-2</v>
      </c>
      <c r="J60" s="3">
        <f t="shared" si="4"/>
        <v>-9.5925737883209277E-3</v>
      </c>
      <c r="K60" s="3" t="str">
        <f t="shared" si="5"/>
        <v>Normal</v>
      </c>
      <c r="L60" s="4">
        <f>VALUE(A60)</f>
        <v>41479</v>
      </c>
    </row>
    <row r="61" spans="1:12">
      <c r="A61" s="5">
        <v>41480</v>
      </c>
      <c r="B61" s="3">
        <v>303.39999399999999</v>
      </c>
      <c r="C61" s="3">
        <v>57.811306000000002</v>
      </c>
      <c r="D61" s="3">
        <v>96.019997000000004</v>
      </c>
      <c r="E61" s="3">
        <v>35.248573</v>
      </c>
      <c r="F61" s="3">
        <f t="shared" si="0"/>
        <v>2013</v>
      </c>
      <c r="G61" s="3" t="str">
        <f t="shared" si="1"/>
        <v>Jul</v>
      </c>
      <c r="H61" s="3" t="str">
        <f t="shared" si="2"/>
        <v>Q3</v>
      </c>
      <c r="I61" s="3">
        <f t="shared" si="3"/>
        <v>2.8378431675249245E-2</v>
      </c>
      <c r="J61" s="3">
        <f t="shared" si="4"/>
        <v>-1.6871433561906932E-2</v>
      </c>
      <c r="K61" s="3" t="str">
        <f t="shared" si="5"/>
        <v>Normal</v>
      </c>
      <c r="L61" s="4">
        <f>VALUE(A61)</f>
        <v>41480</v>
      </c>
    </row>
    <row r="62" spans="1:12">
      <c r="A62" s="5">
        <v>41481</v>
      </c>
      <c r="B62" s="3">
        <v>312.01001000000002</v>
      </c>
      <c r="C62" s="3">
        <v>58.619723999999998</v>
      </c>
      <c r="D62" s="3">
        <v>94.400002000000001</v>
      </c>
      <c r="E62" s="3">
        <v>35.187140999999997</v>
      </c>
      <c r="F62" s="3">
        <f t="shared" si="0"/>
        <v>2013</v>
      </c>
      <c r="G62" s="3" t="str">
        <f t="shared" si="1"/>
        <v>Jul</v>
      </c>
      <c r="H62" s="3" t="str">
        <f t="shared" si="2"/>
        <v>Q3</v>
      </c>
      <c r="I62" s="3">
        <f t="shared" si="3"/>
        <v>-1.8941712799534906E-2</v>
      </c>
      <c r="J62" s="3">
        <f t="shared" si="4"/>
        <v>0.14364403297364331</v>
      </c>
      <c r="K62" s="3" t="str">
        <f t="shared" si="5"/>
        <v>High Volatility</v>
      </c>
      <c r="L62" s="4">
        <f>VALUE(A62)</f>
        <v>41481</v>
      </c>
    </row>
    <row r="63" spans="1:12">
      <c r="A63" s="5">
        <v>41484</v>
      </c>
      <c r="B63" s="3">
        <v>306.10000600000001</v>
      </c>
      <c r="C63" s="3">
        <v>58.168509999999998</v>
      </c>
      <c r="D63" s="3">
        <v>107.959999</v>
      </c>
      <c r="E63" s="3">
        <v>34.994286000000002</v>
      </c>
      <c r="F63" s="3">
        <f t="shared" si="0"/>
        <v>2013</v>
      </c>
      <c r="G63" s="3" t="str">
        <f t="shared" si="1"/>
        <v>Jul</v>
      </c>
      <c r="H63" s="3" t="str">
        <f t="shared" si="2"/>
        <v>Q3</v>
      </c>
      <c r="I63" s="3">
        <f t="shared" si="3"/>
        <v>-1.2054890322347763E-2</v>
      </c>
      <c r="J63" s="3">
        <f t="shared" si="4"/>
        <v>-1.6209707449145124E-2</v>
      </c>
      <c r="K63" s="3" t="str">
        <f t="shared" si="5"/>
        <v>Normal</v>
      </c>
      <c r="L63" s="4">
        <f>VALUE(A63)</f>
        <v>41484</v>
      </c>
    </row>
    <row r="64" spans="1:12">
      <c r="A64" s="5">
        <v>41485</v>
      </c>
      <c r="B64" s="3">
        <v>302.41000400000001</v>
      </c>
      <c r="C64" s="3">
        <v>58.403506999999998</v>
      </c>
      <c r="D64" s="3">
        <v>106.209999</v>
      </c>
      <c r="E64" s="3">
        <v>34.822856999999999</v>
      </c>
      <c r="F64" s="3">
        <f t="shared" si="0"/>
        <v>2013</v>
      </c>
      <c r="G64" s="3" t="str">
        <f t="shared" si="1"/>
        <v>Jul</v>
      </c>
      <c r="H64" s="3" t="str">
        <f t="shared" si="2"/>
        <v>Q3</v>
      </c>
      <c r="I64" s="3">
        <f t="shared" si="3"/>
        <v>-3.9350649259605516E-3</v>
      </c>
      <c r="J64" s="3">
        <f t="shared" si="4"/>
        <v>-2.0807824317934476E-2</v>
      </c>
      <c r="K64" s="3" t="str">
        <f t="shared" si="5"/>
        <v>Normal</v>
      </c>
      <c r="L64" s="4">
        <f>VALUE(A64)</f>
        <v>41485</v>
      </c>
    </row>
    <row r="65" spans="1:12">
      <c r="A65" s="5">
        <v>41486</v>
      </c>
      <c r="B65" s="3">
        <v>301.22000100000002</v>
      </c>
      <c r="C65" s="3">
        <v>58.826526999999999</v>
      </c>
      <c r="D65" s="3">
        <v>104</v>
      </c>
      <c r="E65" s="3">
        <v>34.925713000000002</v>
      </c>
      <c r="F65" s="3">
        <f t="shared" si="0"/>
        <v>2013</v>
      </c>
      <c r="G65" s="3" t="str">
        <f t="shared" si="1"/>
        <v>Jul</v>
      </c>
      <c r="H65" s="3" t="str">
        <f t="shared" si="2"/>
        <v>Q3</v>
      </c>
      <c r="I65" s="3">
        <f t="shared" si="3"/>
        <v>1.4441292030936387E-2</v>
      </c>
      <c r="J65" s="3">
        <f t="shared" si="4"/>
        <v>4.807692307692308E-3</v>
      </c>
      <c r="K65" s="3" t="str">
        <f t="shared" si="5"/>
        <v>Normal</v>
      </c>
      <c r="L65" s="4">
        <f>VALUE(A65)</f>
        <v>41486</v>
      </c>
    </row>
    <row r="66" spans="1:12">
      <c r="A66" s="5">
        <v>41487</v>
      </c>
      <c r="B66" s="3">
        <v>305.57000699999998</v>
      </c>
      <c r="C66" s="3">
        <v>59.982754</v>
      </c>
      <c r="D66" s="3">
        <v>104.5</v>
      </c>
      <c r="E66" s="3">
        <v>35.588569999999997</v>
      </c>
      <c r="F66" s="3">
        <f t="shared" si="0"/>
        <v>2013</v>
      </c>
      <c r="G66" s="3" t="str">
        <f t="shared" si="1"/>
        <v>Aug</v>
      </c>
      <c r="H66" s="3" t="str">
        <f t="shared" si="2"/>
        <v>Q3</v>
      </c>
      <c r="I66" s="3">
        <f t="shared" si="3"/>
        <v>-4.4507509534467277E-3</v>
      </c>
      <c r="J66" s="3">
        <f t="shared" si="4"/>
        <v>4.3061913875597725E-3</v>
      </c>
      <c r="K66" s="3" t="str">
        <f t="shared" si="5"/>
        <v>Normal</v>
      </c>
      <c r="L66" s="4">
        <f>VALUE(A66)</f>
        <v>41487</v>
      </c>
    </row>
    <row r="67" spans="1:12">
      <c r="A67" s="5">
        <v>41488</v>
      </c>
      <c r="B67" s="3">
        <v>304.209991</v>
      </c>
      <c r="C67" s="3">
        <v>59.362338999999999</v>
      </c>
      <c r="D67" s="3">
        <v>104.949997</v>
      </c>
      <c r="E67" s="3">
        <v>35.168571</v>
      </c>
      <c r="F67" s="3">
        <f t="shared" ref="F67:F130" si="6">YEAR(A67)</f>
        <v>2013</v>
      </c>
      <c r="G67" s="3" t="str">
        <f t="shared" ref="G67:G130" si="7">TEXT(A67,"MMM")</f>
        <v>Aug</v>
      </c>
      <c r="H67" s="3" t="str">
        <f t="shared" ref="H67:H130" si="8">"Q"&amp;ROUNDUP(MONTH(A67)/3,0)</f>
        <v>Q3</v>
      </c>
      <c r="I67" s="3">
        <f t="shared" ref="I67:I130" si="9">(B68-B67)/B67</f>
        <v>-1.058479699964892E-2</v>
      </c>
      <c r="J67" s="3">
        <f t="shared" ref="J67:J130" si="10">(D68-D67)/D67</f>
        <v>1.534064836609759E-2</v>
      </c>
      <c r="K67" s="3" t="str">
        <f t="shared" ref="K67:K130" si="11">IF(J67="","",IF(ABS(J67)&gt;0.05,"High Volatility","Normal"))</f>
        <v>Normal</v>
      </c>
      <c r="L67" s="4">
        <f>VALUE(A67)</f>
        <v>41488</v>
      </c>
    </row>
    <row r="68" spans="1:12">
      <c r="A68" s="5">
        <v>41491</v>
      </c>
      <c r="B68" s="3">
        <v>300.98998999999998</v>
      </c>
      <c r="C68" s="3">
        <v>60.161346000000002</v>
      </c>
      <c r="D68" s="3">
        <v>106.55999799999999</v>
      </c>
      <c r="E68" s="3">
        <v>36.262855999999999</v>
      </c>
      <c r="F68" s="3">
        <f t="shared" si="6"/>
        <v>2013</v>
      </c>
      <c r="G68" s="3" t="str">
        <f t="shared" si="7"/>
        <v>Aug</v>
      </c>
      <c r="H68" s="3" t="str">
        <f t="shared" si="8"/>
        <v>Q3</v>
      </c>
      <c r="I68" s="3">
        <f t="shared" si="9"/>
        <v>-7.9733548614017871E-4</v>
      </c>
      <c r="J68" s="3">
        <f t="shared" si="10"/>
        <v>-5.3490991994950415E-3</v>
      </c>
      <c r="K68" s="3" t="str">
        <f t="shared" si="11"/>
        <v>Normal</v>
      </c>
      <c r="L68" s="4">
        <f>VALUE(A68)</f>
        <v>41491</v>
      </c>
    </row>
    <row r="69" spans="1:12">
      <c r="A69" s="5">
        <v>41492</v>
      </c>
      <c r="B69" s="3">
        <v>300.75</v>
      </c>
      <c r="C69" s="3">
        <v>59.174328000000003</v>
      </c>
      <c r="D69" s="3">
        <v>105.989998</v>
      </c>
      <c r="E69" s="3">
        <v>36.557144000000001</v>
      </c>
      <c r="F69" s="3">
        <f t="shared" si="6"/>
        <v>2013</v>
      </c>
      <c r="G69" s="3" t="str">
        <f t="shared" si="7"/>
        <v>Aug</v>
      </c>
      <c r="H69" s="3" t="str">
        <f t="shared" si="8"/>
        <v>Q3</v>
      </c>
      <c r="I69" s="3">
        <f t="shared" si="9"/>
        <v>-1.2768066500415579E-2</v>
      </c>
      <c r="J69" s="3">
        <f t="shared" si="10"/>
        <v>-2.7738419242162794E-2</v>
      </c>
      <c r="K69" s="3" t="str">
        <f t="shared" si="11"/>
        <v>Normal</v>
      </c>
      <c r="L69" s="4">
        <f>VALUE(A69)</f>
        <v>41492</v>
      </c>
    </row>
    <row r="70" spans="1:12">
      <c r="A70" s="5">
        <v>41493</v>
      </c>
      <c r="B70" s="3">
        <v>296.91000400000001</v>
      </c>
      <c r="C70" s="3">
        <v>58.75132</v>
      </c>
      <c r="D70" s="3">
        <v>103.050003</v>
      </c>
      <c r="E70" s="3">
        <v>35.601429000000003</v>
      </c>
      <c r="F70" s="3">
        <f t="shared" si="6"/>
        <v>2013</v>
      </c>
      <c r="G70" s="3" t="str">
        <f t="shared" si="7"/>
        <v>Aug</v>
      </c>
      <c r="H70" s="3" t="str">
        <f t="shared" si="8"/>
        <v>Q3</v>
      </c>
      <c r="I70" s="3">
        <f t="shared" si="9"/>
        <v>-3.9406351562342014E-3</v>
      </c>
      <c r="J70" s="3">
        <f t="shared" si="10"/>
        <v>-2.4260067221929145E-3</v>
      </c>
      <c r="K70" s="3" t="str">
        <f t="shared" si="11"/>
        <v>Normal</v>
      </c>
      <c r="L70" s="4">
        <f>VALUE(A70)</f>
        <v>41493</v>
      </c>
    </row>
    <row r="71" spans="1:12">
      <c r="A71" s="5">
        <v>41494</v>
      </c>
      <c r="B71" s="3">
        <v>295.73998999999998</v>
      </c>
      <c r="C71" s="3">
        <v>58.939326999999999</v>
      </c>
      <c r="D71" s="3">
        <v>102.800003</v>
      </c>
      <c r="E71" s="3">
        <v>35.771427000000003</v>
      </c>
      <c r="F71" s="3">
        <f t="shared" si="6"/>
        <v>2013</v>
      </c>
      <c r="G71" s="3" t="str">
        <f t="shared" si="7"/>
        <v>Aug</v>
      </c>
      <c r="H71" s="3" t="str">
        <f t="shared" si="8"/>
        <v>Q3</v>
      </c>
      <c r="I71" s="3">
        <f t="shared" si="9"/>
        <v>5.1397174930588353E-3</v>
      </c>
      <c r="J71" s="3">
        <f t="shared" si="10"/>
        <v>1.9454960521742028E-3</v>
      </c>
      <c r="K71" s="3" t="str">
        <f t="shared" si="11"/>
        <v>Normal</v>
      </c>
      <c r="L71" s="4">
        <f>VALUE(A71)</f>
        <v>41494</v>
      </c>
    </row>
    <row r="72" spans="1:12">
      <c r="A72" s="5">
        <v>41495</v>
      </c>
      <c r="B72" s="3">
        <v>297.26001000000002</v>
      </c>
      <c r="C72" s="3">
        <v>59.005135000000003</v>
      </c>
      <c r="D72" s="3">
        <v>103</v>
      </c>
      <c r="E72" s="3">
        <v>36.107143000000001</v>
      </c>
      <c r="F72" s="3">
        <f t="shared" si="6"/>
        <v>2013</v>
      </c>
      <c r="G72" s="3" t="str">
        <f t="shared" si="7"/>
        <v>Aug</v>
      </c>
      <c r="H72" s="3" t="str">
        <f t="shared" si="8"/>
        <v>Q3</v>
      </c>
      <c r="I72" s="3">
        <f t="shared" si="9"/>
        <v>-1.9175401359908108E-3</v>
      </c>
      <c r="J72" s="3">
        <f t="shared" si="10"/>
        <v>6.4077650485436885E-2</v>
      </c>
      <c r="K72" s="3" t="str">
        <f t="shared" si="11"/>
        <v>High Volatility</v>
      </c>
      <c r="L72" s="4">
        <f>VALUE(A72)</f>
        <v>41495</v>
      </c>
    </row>
    <row r="73" spans="1:12">
      <c r="A73" s="5">
        <v>41498</v>
      </c>
      <c r="B73" s="3">
        <v>296.69000199999999</v>
      </c>
      <c r="C73" s="3">
        <v>58.666713999999999</v>
      </c>
      <c r="D73" s="3">
        <v>109.599998</v>
      </c>
      <c r="E73" s="3">
        <v>36.657142999999998</v>
      </c>
      <c r="F73" s="3">
        <f t="shared" si="6"/>
        <v>2013</v>
      </c>
      <c r="G73" s="3" t="str">
        <f t="shared" si="7"/>
        <v>Aug</v>
      </c>
      <c r="H73" s="3" t="str">
        <f t="shared" si="8"/>
        <v>Q3</v>
      </c>
      <c r="I73" s="3">
        <f t="shared" si="9"/>
        <v>-9.1678215702056861E-3</v>
      </c>
      <c r="J73" s="3">
        <f t="shared" si="10"/>
        <v>2.7007299762906872E-2</v>
      </c>
      <c r="K73" s="3" t="str">
        <f t="shared" si="11"/>
        <v>Normal</v>
      </c>
      <c r="L73" s="4">
        <f>VALUE(A73)</f>
        <v>41498</v>
      </c>
    </row>
    <row r="74" spans="1:12">
      <c r="A74" s="5">
        <v>41499</v>
      </c>
      <c r="B74" s="3">
        <v>293.97000100000002</v>
      </c>
      <c r="C74" s="3">
        <v>58.394114999999999</v>
      </c>
      <c r="D74" s="3">
        <v>112.55999799999999</v>
      </c>
      <c r="E74" s="3">
        <v>37.027141999999998</v>
      </c>
      <c r="F74" s="3">
        <f t="shared" si="6"/>
        <v>2013</v>
      </c>
      <c r="G74" s="3" t="str">
        <f t="shared" si="7"/>
        <v>Aug</v>
      </c>
      <c r="H74" s="3" t="str">
        <f t="shared" si="8"/>
        <v>Q3</v>
      </c>
      <c r="I74" s="3">
        <f t="shared" si="9"/>
        <v>-8.9465081166565687E-3</v>
      </c>
      <c r="J74" s="3">
        <f t="shared" si="10"/>
        <v>-2.2832267640942861E-2</v>
      </c>
      <c r="K74" s="3" t="str">
        <f t="shared" si="11"/>
        <v>Normal</v>
      </c>
      <c r="L74" s="4">
        <f>VALUE(A74)</f>
        <v>41499</v>
      </c>
    </row>
    <row r="75" spans="1:12">
      <c r="A75" s="5">
        <v>41500</v>
      </c>
      <c r="B75" s="3">
        <v>291.33999599999999</v>
      </c>
      <c r="C75" s="3">
        <v>58.74192</v>
      </c>
      <c r="D75" s="3">
        <v>109.989998</v>
      </c>
      <c r="E75" s="3">
        <v>37.401428000000003</v>
      </c>
      <c r="F75" s="3">
        <f t="shared" si="6"/>
        <v>2013</v>
      </c>
      <c r="G75" s="3" t="str">
        <f t="shared" si="7"/>
        <v>Aug</v>
      </c>
      <c r="H75" s="3" t="str">
        <f t="shared" si="8"/>
        <v>Q3</v>
      </c>
      <c r="I75" s="3">
        <f t="shared" si="9"/>
        <v>-1.6715847692947591E-2</v>
      </c>
      <c r="J75" s="3">
        <f t="shared" si="10"/>
        <v>-9.0917357776477102E-3</v>
      </c>
      <c r="K75" s="3" t="str">
        <f t="shared" si="11"/>
        <v>Normal</v>
      </c>
      <c r="L75" s="4">
        <f>VALUE(A75)</f>
        <v>41500</v>
      </c>
    </row>
    <row r="76" spans="1:12">
      <c r="A76" s="5">
        <v>41501</v>
      </c>
      <c r="B76" s="3">
        <v>286.47000100000002</v>
      </c>
      <c r="C76" s="3">
        <v>57.905304000000001</v>
      </c>
      <c r="D76" s="3">
        <v>108.989998</v>
      </c>
      <c r="E76" s="3">
        <v>36.201427000000002</v>
      </c>
      <c r="F76" s="3">
        <f t="shared" si="6"/>
        <v>2013</v>
      </c>
      <c r="G76" s="3" t="str">
        <f t="shared" si="7"/>
        <v>Aug</v>
      </c>
      <c r="H76" s="3" t="str">
        <f t="shared" si="8"/>
        <v>Q3</v>
      </c>
      <c r="I76" s="3">
        <f t="shared" si="9"/>
        <v>-5.7597444557555928E-3</v>
      </c>
      <c r="J76" s="3">
        <f t="shared" si="10"/>
        <v>3.449859683454623E-2</v>
      </c>
      <c r="K76" s="3" t="str">
        <f t="shared" si="11"/>
        <v>Normal</v>
      </c>
      <c r="L76" s="4">
        <f>VALUE(A76)</f>
        <v>41501</v>
      </c>
    </row>
    <row r="77" spans="1:12">
      <c r="A77" s="5">
        <v>41502</v>
      </c>
      <c r="B77" s="3">
        <v>284.82000699999998</v>
      </c>
      <c r="C77" s="3">
        <v>57.773696999999999</v>
      </c>
      <c r="D77" s="3">
        <v>112.75</v>
      </c>
      <c r="E77" s="3">
        <v>36.981430000000003</v>
      </c>
      <c r="F77" s="3">
        <f t="shared" si="6"/>
        <v>2013</v>
      </c>
      <c r="G77" s="3" t="str">
        <f t="shared" si="7"/>
        <v>Aug</v>
      </c>
      <c r="H77" s="3" t="str">
        <f t="shared" si="8"/>
        <v>Q3</v>
      </c>
      <c r="I77" s="3">
        <f t="shared" si="9"/>
        <v>2.6332419828920236E-3</v>
      </c>
      <c r="J77" s="3">
        <f t="shared" si="10"/>
        <v>7.4944541019955624E-2</v>
      </c>
      <c r="K77" s="3" t="str">
        <f t="shared" si="11"/>
        <v>High Volatility</v>
      </c>
      <c r="L77" s="4">
        <f>VALUE(A77)</f>
        <v>41502</v>
      </c>
    </row>
    <row r="78" spans="1:12">
      <c r="A78" s="5">
        <v>41505</v>
      </c>
      <c r="B78" s="3">
        <v>285.57000699999998</v>
      </c>
      <c r="C78" s="3">
        <v>57.369492000000001</v>
      </c>
      <c r="D78" s="3">
        <v>121.199997</v>
      </c>
      <c r="E78" s="3">
        <v>37.111426999999999</v>
      </c>
      <c r="F78" s="3">
        <f t="shared" si="6"/>
        <v>2013</v>
      </c>
      <c r="G78" s="3" t="str">
        <f t="shared" si="7"/>
        <v>Aug</v>
      </c>
      <c r="H78" s="3" t="str">
        <f t="shared" si="8"/>
        <v>Q3</v>
      </c>
      <c r="I78" s="3">
        <f t="shared" si="9"/>
        <v>5.3226493074954116E-3</v>
      </c>
      <c r="J78" s="3">
        <f t="shared" si="10"/>
        <v>1.7326782607098641E-2</v>
      </c>
      <c r="K78" s="3" t="str">
        <f t="shared" si="11"/>
        <v>Normal</v>
      </c>
      <c r="L78" s="4">
        <f>VALUE(A78)</f>
        <v>41505</v>
      </c>
    </row>
    <row r="79" spans="1:12">
      <c r="A79" s="5">
        <v>41506</v>
      </c>
      <c r="B79" s="3">
        <v>287.08999599999999</v>
      </c>
      <c r="C79" s="3">
        <v>58.196708999999998</v>
      </c>
      <c r="D79" s="3">
        <v>123.300003</v>
      </c>
      <c r="E79" s="3">
        <v>39.041428000000003</v>
      </c>
      <c r="F79" s="3">
        <f t="shared" si="6"/>
        <v>2013</v>
      </c>
      <c r="G79" s="3" t="str">
        <f t="shared" si="7"/>
        <v>Aug</v>
      </c>
      <c r="H79" s="3" t="str">
        <f t="shared" si="8"/>
        <v>Q3</v>
      </c>
      <c r="I79" s="3">
        <f t="shared" si="9"/>
        <v>-8.7776970117760898E-3</v>
      </c>
      <c r="J79" s="3">
        <f t="shared" si="10"/>
        <v>-1.0543414179803416E-2</v>
      </c>
      <c r="K79" s="3" t="str">
        <f t="shared" si="11"/>
        <v>Normal</v>
      </c>
      <c r="L79" s="4">
        <f>VALUE(A79)</f>
        <v>41506</v>
      </c>
    </row>
    <row r="80" spans="1:12">
      <c r="A80" s="5">
        <v>41507</v>
      </c>
      <c r="B80" s="3">
        <v>284.57000699999998</v>
      </c>
      <c r="C80" s="3">
        <v>57.811306000000002</v>
      </c>
      <c r="D80" s="3">
        <v>122</v>
      </c>
      <c r="E80" s="3">
        <v>38.624287000000002</v>
      </c>
      <c r="F80" s="3">
        <f t="shared" si="6"/>
        <v>2013</v>
      </c>
      <c r="G80" s="3" t="str">
        <f t="shared" si="7"/>
        <v>Aug</v>
      </c>
      <c r="H80" s="3" t="str">
        <f t="shared" si="8"/>
        <v>Q3</v>
      </c>
      <c r="I80" s="3">
        <f t="shared" si="9"/>
        <v>1.8132634757956116E-2</v>
      </c>
      <c r="J80" s="3">
        <f t="shared" si="10"/>
        <v>-2.8606540983606557E-2</v>
      </c>
      <c r="K80" s="3" t="str">
        <f t="shared" si="11"/>
        <v>Normal</v>
      </c>
      <c r="L80" s="4">
        <f>VALUE(A80)</f>
        <v>41507</v>
      </c>
    </row>
    <row r="81" spans="1:12">
      <c r="A81" s="5">
        <v>41508</v>
      </c>
      <c r="B81" s="3">
        <v>289.73001099999999</v>
      </c>
      <c r="C81" s="3">
        <v>58.817126999999999</v>
      </c>
      <c r="D81" s="3">
        <v>118.510002</v>
      </c>
      <c r="E81" s="3">
        <v>38.535713000000001</v>
      </c>
      <c r="F81" s="3">
        <f t="shared" si="6"/>
        <v>2013</v>
      </c>
      <c r="G81" s="3" t="str">
        <f t="shared" si="7"/>
        <v>Aug</v>
      </c>
      <c r="H81" s="3" t="str">
        <f t="shared" si="8"/>
        <v>Q3</v>
      </c>
      <c r="I81" s="3">
        <f t="shared" si="9"/>
        <v>9.6641352075892508E-4</v>
      </c>
      <c r="J81" s="3">
        <f t="shared" si="10"/>
        <v>9.197502165260274E-3</v>
      </c>
      <c r="K81" s="3" t="str">
        <f t="shared" si="11"/>
        <v>Normal</v>
      </c>
      <c r="L81" s="4">
        <f>VALUE(A81)</f>
        <v>41508</v>
      </c>
    </row>
    <row r="82" spans="1:12">
      <c r="A82" s="5">
        <v>41509</v>
      </c>
      <c r="B82" s="3">
        <v>290.01001000000002</v>
      </c>
      <c r="C82" s="3">
        <v>58.488117000000003</v>
      </c>
      <c r="D82" s="3">
        <v>119.599998</v>
      </c>
      <c r="E82" s="3">
        <v>39.765712999999998</v>
      </c>
      <c r="F82" s="3">
        <f t="shared" si="6"/>
        <v>2013</v>
      </c>
      <c r="G82" s="3" t="str">
        <f t="shared" si="7"/>
        <v>Aug</v>
      </c>
      <c r="H82" s="3" t="str">
        <f t="shared" si="8"/>
        <v>Q3</v>
      </c>
      <c r="I82" s="3">
        <f t="shared" si="9"/>
        <v>-1.3103061511566514E-2</v>
      </c>
      <c r="J82" s="3">
        <f t="shared" si="10"/>
        <v>9.774243474485686E-2</v>
      </c>
      <c r="K82" s="3" t="str">
        <f t="shared" si="11"/>
        <v>High Volatility</v>
      </c>
      <c r="L82" s="4">
        <f>VALUE(A82)</f>
        <v>41509</v>
      </c>
    </row>
    <row r="83" spans="1:12">
      <c r="A83" s="5">
        <v>41512</v>
      </c>
      <c r="B83" s="3">
        <v>286.209991</v>
      </c>
      <c r="C83" s="3">
        <v>58.159103000000002</v>
      </c>
      <c r="D83" s="3">
        <v>131.28999300000001</v>
      </c>
      <c r="E83" s="3">
        <v>40.388573000000001</v>
      </c>
      <c r="F83" s="3">
        <f t="shared" si="6"/>
        <v>2013</v>
      </c>
      <c r="G83" s="3" t="str">
        <f t="shared" si="7"/>
        <v>Aug</v>
      </c>
      <c r="H83" s="3" t="str">
        <f t="shared" si="8"/>
        <v>Q3</v>
      </c>
      <c r="I83" s="3">
        <f t="shared" si="9"/>
        <v>-1.8447986324837899E-2</v>
      </c>
      <c r="J83" s="3">
        <f t="shared" si="10"/>
        <v>-1.9270303411471779E-2</v>
      </c>
      <c r="K83" s="3" t="str">
        <f t="shared" si="11"/>
        <v>Normal</v>
      </c>
      <c r="L83" s="4">
        <f>VALUE(A83)</f>
        <v>41512</v>
      </c>
    </row>
    <row r="84" spans="1:12">
      <c r="A84" s="5">
        <v>41513</v>
      </c>
      <c r="B84" s="3">
        <v>280.92999300000002</v>
      </c>
      <c r="C84" s="3">
        <v>57.491695</v>
      </c>
      <c r="D84" s="3">
        <v>128.759995</v>
      </c>
      <c r="E84" s="3">
        <v>39.434283999999998</v>
      </c>
      <c r="F84" s="3">
        <f t="shared" si="6"/>
        <v>2013</v>
      </c>
      <c r="G84" s="3" t="str">
        <f t="shared" si="7"/>
        <v>Aug</v>
      </c>
      <c r="H84" s="3" t="str">
        <f t="shared" si="8"/>
        <v>Q3</v>
      </c>
      <c r="I84" s="3">
        <f t="shared" si="9"/>
        <v>2.313722337222969E-3</v>
      </c>
      <c r="J84" s="3">
        <f t="shared" si="10"/>
        <v>4.1939113153895372E-3</v>
      </c>
      <c r="K84" s="3" t="str">
        <f t="shared" si="11"/>
        <v>Normal</v>
      </c>
      <c r="L84" s="4">
        <f>VALUE(A84)</f>
        <v>41513</v>
      </c>
    </row>
    <row r="85" spans="1:12">
      <c r="A85" s="5">
        <v>41514</v>
      </c>
      <c r="B85" s="3">
        <v>281.57998700000002</v>
      </c>
      <c r="C85" s="3">
        <v>58.093307000000003</v>
      </c>
      <c r="D85" s="3">
        <v>129.300003</v>
      </c>
      <c r="E85" s="3">
        <v>40.479999999999997</v>
      </c>
      <c r="F85" s="3">
        <f t="shared" si="6"/>
        <v>2013</v>
      </c>
      <c r="G85" s="3" t="str">
        <f t="shared" si="7"/>
        <v>Aug</v>
      </c>
      <c r="H85" s="3" t="str">
        <f t="shared" si="8"/>
        <v>Q3</v>
      </c>
      <c r="I85" s="3">
        <f t="shared" si="9"/>
        <v>8.5234182498913659E-3</v>
      </c>
      <c r="J85" s="3">
        <f t="shared" si="10"/>
        <v>6.7517368889774887E-2</v>
      </c>
      <c r="K85" s="3" t="str">
        <f t="shared" si="11"/>
        <v>High Volatility</v>
      </c>
      <c r="L85" s="4">
        <f>VALUE(A85)</f>
        <v>41514</v>
      </c>
    </row>
    <row r="86" spans="1:12">
      <c r="A86" s="5">
        <v>41515</v>
      </c>
      <c r="B86" s="3">
        <v>283.98001099999999</v>
      </c>
      <c r="C86" s="3">
        <v>58.328316000000001</v>
      </c>
      <c r="D86" s="3">
        <v>138.029999</v>
      </c>
      <c r="E86" s="3">
        <v>41.121428999999999</v>
      </c>
      <c r="F86" s="3">
        <f t="shared" si="6"/>
        <v>2013</v>
      </c>
      <c r="G86" s="3" t="str">
        <f t="shared" si="7"/>
        <v>Aug</v>
      </c>
      <c r="H86" s="3" t="str">
        <f t="shared" si="8"/>
        <v>Q3</v>
      </c>
      <c r="I86" s="3">
        <f t="shared" si="9"/>
        <v>-1.0564123824898367E-2</v>
      </c>
      <c r="J86" s="3">
        <f t="shared" si="10"/>
        <v>2.1517068909056473E-2</v>
      </c>
      <c r="K86" s="3" t="str">
        <f t="shared" si="11"/>
        <v>Normal</v>
      </c>
      <c r="L86" s="4">
        <f>VALUE(A86)</f>
        <v>41515</v>
      </c>
    </row>
    <row r="87" spans="1:12">
      <c r="A87" s="5">
        <v>41516</v>
      </c>
      <c r="B87" s="3">
        <v>280.98001099999999</v>
      </c>
      <c r="C87" s="3">
        <v>57.754902000000001</v>
      </c>
      <c r="D87" s="3">
        <v>141</v>
      </c>
      <c r="E87" s="3">
        <v>40.558571000000001</v>
      </c>
      <c r="F87" s="3">
        <f t="shared" si="6"/>
        <v>2013</v>
      </c>
      <c r="G87" s="3" t="str">
        <f t="shared" si="7"/>
        <v>Aug</v>
      </c>
      <c r="H87" s="3" t="str">
        <f t="shared" si="8"/>
        <v>Q3</v>
      </c>
      <c r="I87" s="3">
        <f t="shared" si="9"/>
        <v>2.7831079414400033E-2</v>
      </c>
      <c r="J87" s="3">
        <f t="shared" si="10"/>
        <v>-6.0212801418439689E-2</v>
      </c>
      <c r="K87" s="3" t="str">
        <f t="shared" si="11"/>
        <v>High Volatility</v>
      </c>
      <c r="L87" s="4">
        <f>VALUE(A87)</f>
        <v>41516</v>
      </c>
    </row>
    <row r="88" spans="1:12">
      <c r="A88" s="5">
        <v>41520</v>
      </c>
      <c r="B88" s="3">
        <v>288.79998799999998</v>
      </c>
      <c r="C88" s="3">
        <v>57.773696999999999</v>
      </c>
      <c r="D88" s="3">
        <v>132.509995</v>
      </c>
      <c r="E88" s="3">
        <v>41.285713000000001</v>
      </c>
      <c r="F88" s="3">
        <f t="shared" si="6"/>
        <v>2013</v>
      </c>
      <c r="G88" s="3" t="str">
        <f t="shared" si="7"/>
        <v>Sep</v>
      </c>
      <c r="H88" s="3" t="str">
        <f t="shared" si="8"/>
        <v>Q3</v>
      </c>
      <c r="I88" s="3">
        <f t="shared" si="9"/>
        <v>1.6759096956749254E-2</v>
      </c>
      <c r="J88" s="3">
        <f t="shared" si="10"/>
        <v>-1.7432632157295059E-2</v>
      </c>
      <c r="K88" s="3" t="str">
        <f t="shared" si="11"/>
        <v>Normal</v>
      </c>
      <c r="L88" s="4">
        <f>VALUE(A88)</f>
        <v>41520</v>
      </c>
    </row>
    <row r="89" spans="1:12">
      <c r="A89" s="5">
        <v>41521</v>
      </c>
      <c r="B89" s="3">
        <v>293.64001500000001</v>
      </c>
      <c r="C89" s="3">
        <v>58.403506999999998</v>
      </c>
      <c r="D89" s="3">
        <v>130.199997</v>
      </c>
      <c r="E89" s="3">
        <v>41.775714999999998</v>
      </c>
      <c r="F89" s="3">
        <f t="shared" si="6"/>
        <v>2013</v>
      </c>
      <c r="G89" s="3" t="str">
        <f t="shared" si="7"/>
        <v>Sep</v>
      </c>
      <c r="H89" s="3" t="str">
        <f t="shared" si="8"/>
        <v>Q3</v>
      </c>
      <c r="I89" s="3">
        <f t="shared" si="9"/>
        <v>1.5665133377683633E-3</v>
      </c>
      <c r="J89" s="3">
        <f t="shared" si="10"/>
        <v>-6.3748042943503266E-2</v>
      </c>
      <c r="K89" s="3" t="str">
        <f t="shared" si="11"/>
        <v>High Volatility</v>
      </c>
      <c r="L89" s="4">
        <f>VALUE(A89)</f>
        <v>41521</v>
      </c>
    </row>
    <row r="90" spans="1:12">
      <c r="A90" s="5">
        <v>41522</v>
      </c>
      <c r="B90" s="3">
        <v>294.10000600000001</v>
      </c>
      <c r="C90" s="3">
        <v>58.365906000000003</v>
      </c>
      <c r="D90" s="3">
        <v>121.900002</v>
      </c>
      <c r="E90" s="3">
        <v>42.158572999999997</v>
      </c>
      <c r="F90" s="3">
        <f t="shared" si="6"/>
        <v>2013</v>
      </c>
      <c r="G90" s="3" t="str">
        <f t="shared" si="7"/>
        <v>Sep</v>
      </c>
      <c r="H90" s="3" t="str">
        <f t="shared" si="8"/>
        <v>Q3</v>
      </c>
      <c r="I90" s="3">
        <f t="shared" si="9"/>
        <v>5.9842875351726003E-3</v>
      </c>
      <c r="J90" s="3">
        <f t="shared" si="10"/>
        <v>5.8162451875923643E-2</v>
      </c>
      <c r="K90" s="3" t="str">
        <f t="shared" si="11"/>
        <v>High Volatility</v>
      </c>
      <c r="L90" s="4">
        <f>VALUE(A90)</f>
        <v>41522</v>
      </c>
    </row>
    <row r="91" spans="1:12">
      <c r="A91" s="5">
        <v>41523</v>
      </c>
      <c r="B91" s="3">
        <v>295.85998499999999</v>
      </c>
      <c r="C91" s="3">
        <v>57.886501000000003</v>
      </c>
      <c r="D91" s="3">
        <v>128.990005</v>
      </c>
      <c r="E91" s="3">
        <v>41.648570999999997</v>
      </c>
      <c r="F91" s="3">
        <f t="shared" si="6"/>
        <v>2013</v>
      </c>
      <c r="G91" s="3" t="str">
        <f t="shared" si="7"/>
        <v>Sep</v>
      </c>
      <c r="H91" s="3" t="str">
        <f t="shared" si="8"/>
        <v>Q3</v>
      </c>
      <c r="I91" s="3">
        <f t="shared" si="9"/>
        <v>1.3012932451815029E-2</v>
      </c>
      <c r="J91" s="3">
        <f t="shared" si="10"/>
        <v>2.8141637795889629E-2</v>
      </c>
      <c r="K91" s="3" t="str">
        <f t="shared" si="11"/>
        <v>Normal</v>
      </c>
      <c r="L91" s="4">
        <f>VALUE(A91)</f>
        <v>41523</v>
      </c>
    </row>
    <row r="92" spans="1:12">
      <c r="A92" s="5">
        <v>41526</v>
      </c>
      <c r="B92" s="3">
        <v>299.709991</v>
      </c>
      <c r="C92" s="3">
        <v>59.258929999999999</v>
      </c>
      <c r="D92" s="3">
        <v>132.61999499999999</v>
      </c>
      <c r="E92" s="3">
        <v>42.021427000000003</v>
      </c>
      <c r="F92" s="3">
        <f t="shared" si="6"/>
        <v>2013</v>
      </c>
      <c r="G92" s="3" t="str">
        <f t="shared" si="7"/>
        <v>Sep</v>
      </c>
      <c r="H92" s="3" t="str">
        <f t="shared" si="8"/>
        <v>Q3</v>
      </c>
      <c r="I92" s="3">
        <f t="shared" si="9"/>
        <v>2.1687431834729607E-3</v>
      </c>
      <c r="J92" s="3">
        <f t="shared" si="10"/>
        <v>7.1482516644643362E-2</v>
      </c>
      <c r="K92" s="3" t="str">
        <f t="shared" si="11"/>
        <v>High Volatility</v>
      </c>
      <c r="L92" s="4">
        <f>VALUE(A92)</f>
        <v>41526</v>
      </c>
    </row>
    <row r="93" spans="1:12">
      <c r="A93" s="5">
        <v>41527</v>
      </c>
      <c r="B93" s="3">
        <v>300.35998499999999</v>
      </c>
      <c r="C93" s="3">
        <v>60.819369999999999</v>
      </c>
      <c r="D93" s="3">
        <v>142.10000600000001</v>
      </c>
      <c r="E93" s="3">
        <v>44.722858000000002</v>
      </c>
      <c r="F93" s="3">
        <f t="shared" si="6"/>
        <v>2013</v>
      </c>
      <c r="G93" s="3" t="str">
        <f t="shared" si="7"/>
        <v>Sep</v>
      </c>
      <c r="H93" s="3" t="str">
        <f t="shared" si="8"/>
        <v>Q3</v>
      </c>
      <c r="I93" s="3">
        <f t="shared" si="9"/>
        <v>-2.3970236914214434E-3</v>
      </c>
      <c r="J93" s="3">
        <f t="shared" si="10"/>
        <v>-1.9352567796513676E-2</v>
      </c>
      <c r="K93" s="3" t="str">
        <f t="shared" si="11"/>
        <v>Normal</v>
      </c>
      <c r="L93" s="4">
        <f>VALUE(A93)</f>
        <v>41527</v>
      </c>
    </row>
    <row r="94" spans="1:12">
      <c r="A94" s="5">
        <v>41528</v>
      </c>
      <c r="B94" s="3">
        <v>299.64001500000001</v>
      </c>
      <c r="C94" s="3">
        <v>61.139969000000001</v>
      </c>
      <c r="D94" s="3">
        <v>139.35000600000001</v>
      </c>
      <c r="E94" s="3">
        <v>44.042858000000003</v>
      </c>
      <c r="F94" s="3">
        <f t="shared" si="6"/>
        <v>2013</v>
      </c>
      <c r="G94" s="3" t="str">
        <f t="shared" si="7"/>
        <v>Sep</v>
      </c>
      <c r="H94" s="3" t="str">
        <f t="shared" si="8"/>
        <v>Q3</v>
      </c>
      <c r="I94" s="3">
        <f t="shared" si="9"/>
        <v>-2.6032237383248383E-3</v>
      </c>
      <c r="J94" s="3">
        <f t="shared" si="10"/>
        <v>9.4007746221408759E-3</v>
      </c>
      <c r="K94" s="3" t="str">
        <f t="shared" si="11"/>
        <v>Normal</v>
      </c>
      <c r="L94" s="4">
        <f>VALUE(A94)</f>
        <v>41528</v>
      </c>
    </row>
    <row r="95" spans="1:12">
      <c r="A95" s="5">
        <v>41529</v>
      </c>
      <c r="B95" s="3">
        <v>298.85998499999999</v>
      </c>
      <c r="C95" s="3">
        <v>61.526569000000002</v>
      </c>
      <c r="D95" s="3">
        <v>140.66000399999999</v>
      </c>
      <c r="E95" s="3">
        <v>43.058571000000001</v>
      </c>
      <c r="F95" s="3">
        <f t="shared" si="6"/>
        <v>2013</v>
      </c>
      <c r="G95" s="3" t="str">
        <f t="shared" si="7"/>
        <v>Sep</v>
      </c>
      <c r="H95" s="3" t="str">
        <f t="shared" si="8"/>
        <v>Q3</v>
      </c>
      <c r="I95" s="3">
        <f t="shared" si="9"/>
        <v>-3.1451918864280597E-3</v>
      </c>
      <c r="J95" s="3">
        <f t="shared" si="10"/>
        <v>-2.8081877489495852E-2</v>
      </c>
      <c r="K95" s="3" t="str">
        <f t="shared" si="11"/>
        <v>Normal</v>
      </c>
      <c r="L95" s="4">
        <f>VALUE(A95)</f>
        <v>41529</v>
      </c>
    </row>
    <row r="96" spans="1:12">
      <c r="A96" s="5">
        <v>41530</v>
      </c>
      <c r="B96" s="3">
        <v>297.92001299999998</v>
      </c>
      <c r="C96" s="3">
        <v>62.346919999999997</v>
      </c>
      <c r="D96" s="3">
        <v>136.71000699999999</v>
      </c>
      <c r="E96" s="3">
        <v>43.664287999999999</v>
      </c>
      <c r="F96" s="3">
        <f t="shared" si="6"/>
        <v>2013</v>
      </c>
      <c r="G96" s="3" t="str">
        <f t="shared" si="7"/>
        <v>Sep</v>
      </c>
      <c r="H96" s="3" t="str">
        <f t="shared" si="8"/>
        <v>Q3</v>
      </c>
      <c r="I96" s="3">
        <f t="shared" si="9"/>
        <v>-6.2433368650530226E-3</v>
      </c>
      <c r="J96" s="3">
        <f t="shared" si="10"/>
        <v>1.7847903409148404E-2</v>
      </c>
      <c r="K96" s="3" t="str">
        <f t="shared" si="11"/>
        <v>Normal</v>
      </c>
      <c r="L96" s="4">
        <f>VALUE(A96)</f>
        <v>41530</v>
      </c>
    </row>
    <row r="97" spans="1:12">
      <c r="A97" s="5">
        <v>41533</v>
      </c>
      <c r="B97" s="3">
        <v>296.05999800000001</v>
      </c>
      <c r="C97" s="3">
        <v>62.478928000000003</v>
      </c>
      <c r="D97" s="3">
        <v>139.14999399999999</v>
      </c>
      <c r="E97" s="3">
        <v>43.165714000000001</v>
      </c>
      <c r="F97" s="3">
        <f t="shared" si="6"/>
        <v>2013</v>
      </c>
      <c r="G97" s="3" t="str">
        <f t="shared" si="7"/>
        <v>Sep</v>
      </c>
      <c r="H97" s="3" t="str">
        <f t="shared" si="8"/>
        <v>Q3</v>
      </c>
      <c r="I97" s="3">
        <f t="shared" si="9"/>
        <v>2.7393146844512158E-2</v>
      </c>
      <c r="J97" s="3">
        <f t="shared" si="10"/>
        <v>9.0550488992474851E-3</v>
      </c>
      <c r="K97" s="3" t="str">
        <f t="shared" si="11"/>
        <v>Normal</v>
      </c>
      <c r="L97" s="4">
        <f>VALUE(A97)</f>
        <v>41533</v>
      </c>
    </row>
    <row r="98" spans="1:12">
      <c r="A98" s="5">
        <v>41534</v>
      </c>
      <c r="B98" s="3">
        <v>304.17001299999998</v>
      </c>
      <c r="C98" s="3">
        <v>63.044696999999999</v>
      </c>
      <c r="D98" s="3">
        <v>140.41000399999999</v>
      </c>
      <c r="E98" s="3">
        <v>42.792858000000003</v>
      </c>
      <c r="F98" s="3">
        <f t="shared" si="6"/>
        <v>2013</v>
      </c>
      <c r="G98" s="3" t="str">
        <f t="shared" si="7"/>
        <v>Sep</v>
      </c>
      <c r="H98" s="3" t="str">
        <f t="shared" si="8"/>
        <v>Q3</v>
      </c>
      <c r="I98" s="3">
        <f t="shared" si="9"/>
        <v>2.584076557211441E-2</v>
      </c>
      <c r="J98" s="3">
        <f t="shared" si="10"/>
        <v>-3.8173925271022591E-2</v>
      </c>
      <c r="K98" s="3" t="str">
        <f t="shared" si="11"/>
        <v>Normal</v>
      </c>
      <c r="L98" s="4">
        <f>VALUE(A98)</f>
        <v>41534</v>
      </c>
    </row>
    <row r="99" spans="1:12">
      <c r="A99" s="5">
        <v>41535</v>
      </c>
      <c r="B99" s="3">
        <v>312.02999899999998</v>
      </c>
      <c r="C99" s="3">
        <v>63.440722999999998</v>
      </c>
      <c r="D99" s="3">
        <v>135.050003</v>
      </c>
      <c r="E99" s="3">
        <v>43.845714999999998</v>
      </c>
      <c r="F99" s="3">
        <f t="shared" si="6"/>
        <v>2013</v>
      </c>
      <c r="G99" s="3" t="str">
        <f t="shared" si="7"/>
        <v>Sep</v>
      </c>
      <c r="H99" s="3" t="str">
        <f t="shared" si="8"/>
        <v>Q3</v>
      </c>
      <c r="I99" s="3">
        <f t="shared" si="9"/>
        <v>9.6141396968796213E-5</v>
      </c>
      <c r="J99" s="3">
        <f t="shared" si="10"/>
        <v>-9.1818213436100134E-3</v>
      </c>
      <c r="K99" s="3" t="str">
        <f t="shared" si="11"/>
        <v>Normal</v>
      </c>
      <c r="L99" s="4">
        <f>VALUE(A99)</f>
        <v>41535</v>
      </c>
    </row>
    <row r="100" spans="1:12">
      <c r="A100" s="5">
        <v>41536</v>
      </c>
      <c r="B100" s="3">
        <v>312.05999800000001</v>
      </c>
      <c r="C100" s="3">
        <v>63.761325999999997</v>
      </c>
      <c r="D100" s="3">
        <v>133.80999800000001</v>
      </c>
      <c r="E100" s="3">
        <v>43.642856999999999</v>
      </c>
      <c r="F100" s="3">
        <f t="shared" si="6"/>
        <v>2013</v>
      </c>
      <c r="G100" s="3" t="str">
        <f t="shared" si="7"/>
        <v>Sep</v>
      </c>
      <c r="H100" s="3" t="str">
        <f t="shared" si="8"/>
        <v>Q3</v>
      </c>
      <c r="I100" s="3">
        <f t="shared" si="9"/>
        <v>1.371530483698836E-2</v>
      </c>
      <c r="J100" s="3">
        <f t="shared" si="10"/>
        <v>4.2598236941906531E-3</v>
      </c>
      <c r="K100" s="3" t="str">
        <f t="shared" si="11"/>
        <v>Normal</v>
      </c>
      <c r="L100" s="4">
        <f>VALUE(A100)</f>
        <v>41536</v>
      </c>
    </row>
    <row r="101" spans="1:12">
      <c r="A101" s="5">
        <v>41537</v>
      </c>
      <c r="B101" s="3">
        <v>316.33999599999999</v>
      </c>
      <c r="C101" s="3">
        <v>62.931548999999997</v>
      </c>
      <c r="D101" s="3">
        <v>134.38000500000001</v>
      </c>
      <c r="E101" s="3">
        <v>44.832858999999999</v>
      </c>
      <c r="F101" s="3">
        <f t="shared" si="6"/>
        <v>2013</v>
      </c>
      <c r="G101" s="3" t="str">
        <f t="shared" si="7"/>
        <v>Sep</v>
      </c>
      <c r="H101" s="3" t="str">
        <f t="shared" si="8"/>
        <v>Q3</v>
      </c>
      <c r="I101" s="3">
        <f t="shared" si="9"/>
        <v>-1.5331624395670814E-2</v>
      </c>
      <c r="J101" s="3">
        <f t="shared" si="10"/>
        <v>2.9765886673392547E-3</v>
      </c>
      <c r="K101" s="3" t="str">
        <f t="shared" si="11"/>
        <v>Normal</v>
      </c>
      <c r="L101" s="4">
        <f>VALUE(A101)</f>
        <v>41537</v>
      </c>
    </row>
    <row r="102" spans="1:12">
      <c r="A102" s="5">
        <v>41540</v>
      </c>
      <c r="B102" s="3">
        <v>311.48998999999998</v>
      </c>
      <c r="C102" s="3">
        <v>63.157848000000001</v>
      </c>
      <c r="D102" s="3">
        <v>134.779999</v>
      </c>
      <c r="E102" s="3">
        <v>43.148570999999997</v>
      </c>
      <c r="F102" s="3">
        <f t="shared" si="6"/>
        <v>2013</v>
      </c>
      <c r="G102" s="3" t="str">
        <f t="shared" si="7"/>
        <v>Sep</v>
      </c>
      <c r="H102" s="3" t="str">
        <f t="shared" si="8"/>
        <v>Q3</v>
      </c>
      <c r="I102" s="3">
        <f t="shared" si="9"/>
        <v>8.4754408961906138E-3</v>
      </c>
      <c r="J102" s="3">
        <f t="shared" si="10"/>
        <v>1.6322970888284123E-3</v>
      </c>
      <c r="K102" s="3" t="str">
        <f t="shared" si="11"/>
        <v>Normal</v>
      </c>
      <c r="L102" s="4">
        <f>VALUE(A102)</f>
        <v>41540</v>
      </c>
    </row>
    <row r="103" spans="1:12">
      <c r="A103" s="5">
        <v>41541</v>
      </c>
      <c r="B103" s="3">
        <v>314.13000499999998</v>
      </c>
      <c r="C103" s="3">
        <v>63.469017000000001</v>
      </c>
      <c r="D103" s="3">
        <v>135</v>
      </c>
      <c r="E103" s="3">
        <v>43.784286000000002</v>
      </c>
      <c r="F103" s="3">
        <f t="shared" si="6"/>
        <v>2013</v>
      </c>
      <c r="G103" s="3" t="str">
        <f t="shared" si="7"/>
        <v>Sep</v>
      </c>
      <c r="H103" s="3" t="str">
        <f t="shared" si="8"/>
        <v>Q3</v>
      </c>
      <c r="I103" s="3">
        <f t="shared" si="9"/>
        <v>-4.7114601484821248E-3</v>
      </c>
      <c r="J103" s="3">
        <f t="shared" si="10"/>
        <v>1.5555600000000057E-2</v>
      </c>
      <c r="K103" s="3" t="str">
        <f t="shared" si="11"/>
        <v>Normal</v>
      </c>
      <c r="L103" s="4">
        <f>VALUE(A103)</f>
        <v>41541</v>
      </c>
    </row>
    <row r="104" spans="1:12">
      <c r="A104" s="5">
        <v>41542</v>
      </c>
      <c r="B104" s="3">
        <v>312.64999399999999</v>
      </c>
      <c r="C104" s="3">
        <v>63.072983000000001</v>
      </c>
      <c r="D104" s="3">
        <v>137.10000600000001</v>
      </c>
      <c r="E104" s="3">
        <v>43.877144000000001</v>
      </c>
      <c r="F104" s="3">
        <f t="shared" si="6"/>
        <v>2013</v>
      </c>
      <c r="G104" s="3" t="str">
        <f t="shared" si="7"/>
        <v>Sep</v>
      </c>
      <c r="H104" s="3" t="str">
        <f t="shared" si="8"/>
        <v>Q3</v>
      </c>
      <c r="I104" s="3">
        <f t="shared" si="9"/>
        <v>1.7495605645206008E-2</v>
      </c>
      <c r="J104" s="3">
        <f t="shared" si="10"/>
        <v>1.3347825819934598E-2</v>
      </c>
      <c r="K104" s="3" t="str">
        <f t="shared" si="11"/>
        <v>Normal</v>
      </c>
      <c r="L104" s="4">
        <f>VALUE(A104)</f>
        <v>41542</v>
      </c>
    </row>
    <row r="105" spans="1:12">
      <c r="A105" s="5">
        <v>41543</v>
      </c>
      <c r="B105" s="3">
        <v>318.11999500000002</v>
      </c>
      <c r="C105" s="3">
        <v>63.789608000000001</v>
      </c>
      <c r="D105" s="3">
        <v>138.929993</v>
      </c>
      <c r="E105" s="3">
        <v>44.787143999999998</v>
      </c>
      <c r="F105" s="3">
        <f t="shared" si="6"/>
        <v>2013</v>
      </c>
      <c r="G105" s="3" t="str">
        <f t="shared" si="7"/>
        <v>Sep</v>
      </c>
      <c r="H105" s="3" t="str">
        <f t="shared" si="8"/>
        <v>Q3</v>
      </c>
      <c r="I105" s="3">
        <f t="shared" si="9"/>
        <v>-6.6326701658598807E-3</v>
      </c>
      <c r="J105" s="3">
        <f t="shared" si="10"/>
        <v>2.5696445547218907E-2</v>
      </c>
      <c r="K105" s="3" t="str">
        <f t="shared" si="11"/>
        <v>Normal</v>
      </c>
      <c r="L105" s="4">
        <f>VALUE(A105)</f>
        <v>41543</v>
      </c>
    </row>
    <row r="106" spans="1:12">
      <c r="A106" s="5">
        <v>41544</v>
      </c>
      <c r="B106" s="3">
        <v>316.01001000000002</v>
      </c>
      <c r="C106" s="3">
        <v>63.695332000000001</v>
      </c>
      <c r="D106" s="3">
        <v>142.5</v>
      </c>
      <c r="E106" s="3">
        <v>44.628571000000001</v>
      </c>
      <c r="F106" s="3">
        <f t="shared" si="6"/>
        <v>2013</v>
      </c>
      <c r="G106" s="3" t="str">
        <f t="shared" si="7"/>
        <v>Sep</v>
      </c>
      <c r="H106" s="3" t="str">
        <f t="shared" si="8"/>
        <v>Q3</v>
      </c>
      <c r="I106" s="3">
        <f t="shared" si="9"/>
        <v>-1.0664203326976943E-2</v>
      </c>
      <c r="J106" s="3">
        <f t="shared" si="10"/>
        <v>-1.5438575438596464E-2</v>
      </c>
      <c r="K106" s="3" t="str">
        <f t="shared" si="11"/>
        <v>Normal</v>
      </c>
      <c r="L106" s="4">
        <f>VALUE(A106)</f>
        <v>41544</v>
      </c>
    </row>
    <row r="107" spans="1:12">
      <c r="A107" s="5">
        <v>41547</v>
      </c>
      <c r="B107" s="3">
        <v>312.64001500000001</v>
      </c>
      <c r="C107" s="3">
        <v>64.072509999999994</v>
      </c>
      <c r="D107" s="3">
        <v>140.300003</v>
      </c>
      <c r="E107" s="3">
        <v>44.172854999999998</v>
      </c>
      <c r="F107" s="3">
        <f t="shared" si="6"/>
        <v>2013</v>
      </c>
      <c r="G107" s="3" t="str">
        <f t="shared" si="7"/>
        <v>Sep</v>
      </c>
      <c r="H107" s="3" t="str">
        <f t="shared" si="8"/>
        <v>Q3</v>
      </c>
      <c r="I107" s="3">
        <f t="shared" si="9"/>
        <v>2.6580081247757136E-2</v>
      </c>
      <c r="J107" s="3">
        <f t="shared" si="10"/>
        <v>-0.12330721760569031</v>
      </c>
      <c r="K107" s="3" t="str">
        <f t="shared" si="11"/>
        <v>High Volatility</v>
      </c>
      <c r="L107" s="4">
        <f>VALUE(A107)</f>
        <v>41547</v>
      </c>
    </row>
    <row r="108" spans="1:12">
      <c r="A108" s="5">
        <v>41548</v>
      </c>
      <c r="B108" s="3">
        <v>320.95001200000002</v>
      </c>
      <c r="C108" s="3">
        <v>65.552909999999997</v>
      </c>
      <c r="D108" s="3">
        <v>123</v>
      </c>
      <c r="E108" s="3">
        <v>46.374287000000002</v>
      </c>
      <c r="F108" s="3">
        <f t="shared" si="6"/>
        <v>2013</v>
      </c>
      <c r="G108" s="3" t="str">
        <f t="shared" si="7"/>
        <v>Oct</v>
      </c>
      <c r="H108" s="3" t="str">
        <f t="shared" si="8"/>
        <v>Q4</v>
      </c>
      <c r="I108" s="3">
        <f t="shared" si="9"/>
        <v>-1.3709362316521511E-3</v>
      </c>
      <c r="J108" s="3">
        <f t="shared" si="10"/>
        <v>6.4959390243902404E-2</v>
      </c>
      <c r="K108" s="3" t="str">
        <f t="shared" si="11"/>
        <v>High Volatility</v>
      </c>
      <c r="L108" s="4">
        <f>VALUE(A108)</f>
        <v>41548</v>
      </c>
    </row>
    <row r="109" spans="1:12">
      <c r="A109" s="5">
        <v>41549</v>
      </c>
      <c r="B109" s="3">
        <v>320.51001000000002</v>
      </c>
      <c r="C109" s="3">
        <v>65.656623999999994</v>
      </c>
      <c r="D109" s="3">
        <v>130.990005</v>
      </c>
      <c r="E109" s="3">
        <v>47.247143000000001</v>
      </c>
      <c r="F109" s="3">
        <f t="shared" si="6"/>
        <v>2013</v>
      </c>
      <c r="G109" s="3" t="str">
        <f t="shared" si="7"/>
        <v>Oct</v>
      </c>
      <c r="H109" s="3" t="str">
        <f t="shared" si="8"/>
        <v>Q4</v>
      </c>
      <c r="I109" s="3">
        <f t="shared" si="9"/>
        <v>-1.794015731365145E-2</v>
      </c>
      <c r="J109" s="3">
        <f t="shared" si="10"/>
        <v>4.4507227860629578E-2</v>
      </c>
      <c r="K109" s="3" t="str">
        <f t="shared" si="11"/>
        <v>Normal</v>
      </c>
      <c r="L109" s="4">
        <f>VALUE(A109)</f>
        <v>41549</v>
      </c>
    </row>
    <row r="110" spans="1:12">
      <c r="A110" s="5">
        <v>41550</v>
      </c>
      <c r="B110" s="3">
        <v>314.76001000000002</v>
      </c>
      <c r="C110" s="3">
        <v>64.440239000000005</v>
      </c>
      <c r="D110" s="3">
        <v>136.820007</v>
      </c>
      <c r="E110" s="3">
        <v>45.959999000000003</v>
      </c>
      <c r="F110" s="3">
        <f t="shared" si="6"/>
        <v>2013</v>
      </c>
      <c r="G110" s="3" t="str">
        <f t="shared" si="7"/>
        <v>Oct</v>
      </c>
      <c r="H110" s="3" t="str">
        <f t="shared" si="8"/>
        <v>Q4</v>
      </c>
      <c r="I110" s="3">
        <f t="shared" si="9"/>
        <v>1.3597658101484921E-2</v>
      </c>
      <c r="J110" s="3">
        <f t="shared" si="10"/>
        <v>-8.7713780046808304E-4</v>
      </c>
      <c r="K110" s="3" t="str">
        <f t="shared" si="11"/>
        <v>Normal</v>
      </c>
      <c r="L110" s="4">
        <f>VALUE(A110)</f>
        <v>41550</v>
      </c>
    </row>
    <row r="111" spans="1:12">
      <c r="A111" s="5">
        <v>41551</v>
      </c>
      <c r="B111" s="3">
        <v>319.040009</v>
      </c>
      <c r="C111" s="3">
        <v>64.807991000000001</v>
      </c>
      <c r="D111" s="3">
        <v>136.699997</v>
      </c>
      <c r="E111" s="3">
        <v>46.751427</v>
      </c>
      <c r="F111" s="3">
        <f t="shared" si="6"/>
        <v>2013</v>
      </c>
      <c r="G111" s="3" t="str">
        <f t="shared" si="7"/>
        <v>Oct</v>
      </c>
      <c r="H111" s="3" t="str">
        <f t="shared" si="8"/>
        <v>Q4</v>
      </c>
      <c r="I111" s="3">
        <f t="shared" si="9"/>
        <v>-2.8241003466120209E-2</v>
      </c>
      <c r="J111" s="3">
        <f t="shared" si="10"/>
        <v>-1.5361521917224309E-3</v>
      </c>
      <c r="K111" s="3" t="str">
        <f t="shared" si="11"/>
        <v>Normal</v>
      </c>
      <c r="L111" s="4">
        <f>VALUE(A111)</f>
        <v>41551</v>
      </c>
    </row>
    <row r="112" spans="1:12">
      <c r="A112" s="5">
        <v>41554</v>
      </c>
      <c r="B112" s="3">
        <v>310.02999899999998</v>
      </c>
      <c r="C112" s="3">
        <v>64.459106000000006</v>
      </c>
      <c r="D112" s="3">
        <v>136.490005</v>
      </c>
      <c r="E112" s="3">
        <v>45.451427000000002</v>
      </c>
      <c r="F112" s="3">
        <f t="shared" si="6"/>
        <v>2013</v>
      </c>
      <c r="G112" s="3" t="str">
        <f t="shared" si="7"/>
        <v>Oct</v>
      </c>
      <c r="H112" s="3" t="str">
        <f t="shared" si="8"/>
        <v>Q4</v>
      </c>
      <c r="I112" s="3">
        <f t="shared" si="9"/>
        <v>-2.1933322652431402E-2</v>
      </c>
      <c r="J112" s="3">
        <f t="shared" si="10"/>
        <v>2.2052860207602772E-2</v>
      </c>
      <c r="K112" s="3" t="str">
        <f t="shared" si="11"/>
        <v>Normal</v>
      </c>
      <c r="L112" s="4">
        <f>VALUE(A112)</f>
        <v>41554</v>
      </c>
    </row>
    <row r="113" spans="1:12">
      <c r="A113" s="5">
        <v>41555</v>
      </c>
      <c r="B113" s="3">
        <v>303.23001099999999</v>
      </c>
      <c r="C113" s="3">
        <v>63.582165000000003</v>
      </c>
      <c r="D113" s="3">
        <v>139.5</v>
      </c>
      <c r="E113" s="3">
        <v>43.188572000000001</v>
      </c>
      <c r="F113" s="3">
        <f t="shared" si="6"/>
        <v>2013</v>
      </c>
      <c r="G113" s="3" t="str">
        <f t="shared" si="7"/>
        <v>Oct</v>
      </c>
      <c r="H113" s="3" t="str">
        <f t="shared" si="8"/>
        <v>Q4</v>
      </c>
      <c r="I113" s="3">
        <f t="shared" si="9"/>
        <v>-1.6489133062756112E-2</v>
      </c>
      <c r="J113" s="3">
        <f t="shared" si="10"/>
        <v>6.5233261648744555E-3</v>
      </c>
      <c r="K113" s="3" t="str">
        <f t="shared" si="11"/>
        <v>Normal</v>
      </c>
      <c r="L113" s="4">
        <f>VALUE(A113)</f>
        <v>41555</v>
      </c>
    </row>
    <row r="114" spans="1:12">
      <c r="A114" s="5">
        <v>41556</v>
      </c>
      <c r="B114" s="3">
        <v>298.23001099999999</v>
      </c>
      <c r="C114" s="3">
        <v>62.790095999999998</v>
      </c>
      <c r="D114" s="3">
        <v>140.41000399999999</v>
      </c>
      <c r="E114" s="3">
        <v>41.204284999999999</v>
      </c>
      <c r="F114" s="3">
        <f t="shared" si="6"/>
        <v>2013</v>
      </c>
      <c r="G114" s="3" t="str">
        <f t="shared" si="7"/>
        <v>Oct</v>
      </c>
      <c r="H114" s="3" t="str">
        <f t="shared" si="8"/>
        <v>Q4</v>
      </c>
      <c r="I114" s="3">
        <f t="shared" si="9"/>
        <v>2.327063589854474E-2</v>
      </c>
      <c r="J114" s="3">
        <f t="shared" si="10"/>
        <v>-2.2078056489477698E-3</v>
      </c>
      <c r="K114" s="3" t="str">
        <f t="shared" si="11"/>
        <v>Normal</v>
      </c>
      <c r="L114" s="4">
        <f>VALUE(A114)</f>
        <v>41556</v>
      </c>
    </row>
    <row r="115" spans="1:12">
      <c r="A115" s="5">
        <v>41557</v>
      </c>
      <c r="B115" s="3">
        <v>305.17001299999998</v>
      </c>
      <c r="C115" s="3">
        <v>63.346451000000002</v>
      </c>
      <c r="D115" s="3">
        <v>140.10000600000001</v>
      </c>
      <c r="E115" s="3">
        <v>43.427143000000001</v>
      </c>
      <c r="F115" s="3">
        <f t="shared" si="6"/>
        <v>2013</v>
      </c>
      <c r="G115" s="3" t="str">
        <f t="shared" si="7"/>
        <v>Oct</v>
      </c>
      <c r="H115" s="3" t="str">
        <f t="shared" si="8"/>
        <v>Q4</v>
      </c>
      <c r="I115" s="3">
        <f t="shared" si="9"/>
        <v>1.8743656834985363E-2</v>
      </c>
      <c r="J115" s="3">
        <f t="shared" si="10"/>
        <v>1.991429607790296E-2</v>
      </c>
      <c r="K115" s="3" t="str">
        <f t="shared" si="11"/>
        <v>Normal</v>
      </c>
      <c r="L115" s="4">
        <f>VALUE(A115)</f>
        <v>41557</v>
      </c>
    </row>
    <row r="116" spans="1:12">
      <c r="A116" s="5">
        <v>41558</v>
      </c>
      <c r="B116" s="3">
        <v>310.89001500000001</v>
      </c>
      <c r="C116" s="3">
        <v>64.459106000000006</v>
      </c>
      <c r="D116" s="3">
        <v>142.88999899999999</v>
      </c>
      <c r="E116" s="3">
        <v>42.978572999999997</v>
      </c>
      <c r="F116" s="3">
        <f t="shared" si="6"/>
        <v>2013</v>
      </c>
      <c r="G116" s="3" t="str">
        <f t="shared" si="7"/>
        <v>Oct</v>
      </c>
      <c r="H116" s="3" t="str">
        <f t="shared" si="8"/>
        <v>Q4</v>
      </c>
      <c r="I116" s="3">
        <f t="shared" si="9"/>
        <v>-6.1115825800963774E-4</v>
      </c>
      <c r="J116" s="3">
        <f t="shared" si="10"/>
        <v>0.10637551337655217</v>
      </c>
      <c r="K116" s="3" t="str">
        <f t="shared" si="11"/>
        <v>High Volatility</v>
      </c>
      <c r="L116" s="4">
        <f>VALUE(A116)</f>
        <v>41558</v>
      </c>
    </row>
    <row r="117" spans="1:12">
      <c r="A117" s="5">
        <v>41561</v>
      </c>
      <c r="B117" s="3">
        <v>310.70001200000002</v>
      </c>
      <c r="C117" s="3">
        <v>64.921143000000001</v>
      </c>
      <c r="D117" s="3">
        <v>158.08999600000001</v>
      </c>
      <c r="E117" s="3">
        <v>46.337142999999998</v>
      </c>
      <c r="F117" s="3">
        <f t="shared" si="6"/>
        <v>2013</v>
      </c>
      <c r="G117" s="3" t="str">
        <f t="shared" si="7"/>
        <v>Oct</v>
      </c>
      <c r="H117" s="3" t="str">
        <f t="shared" si="8"/>
        <v>Q4</v>
      </c>
      <c r="I117" s="3">
        <f t="shared" si="9"/>
        <v>-1.3839774167759037E-2</v>
      </c>
      <c r="J117" s="3">
        <f t="shared" si="10"/>
        <v>-3.3335373099762804E-2</v>
      </c>
      <c r="K117" s="3" t="str">
        <f t="shared" si="11"/>
        <v>Normal</v>
      </c>
      <c r="L117" s="4">
        <f>VALUE(A117)</f>
        <v>41561</v>
      </c>
    </row>
    <row r="118" spans="1:12">
      <c r="A118" s="5">
        <v>41562</v>
      </c>
      <c r="B118" s="3">
        <v>306.39999399999999</v>
      </c>
      <c r="C118" s="3">
        <v>61.196548</v>
      </c>
      <c r="D118" s="3">
        <v>152.820007</v>
      </c>
      <c r="E118" s="3">
        <v>45.955714999999998</v>
      </c>
      <c r="F118" s="3">
        <f t="shared" si="6"/>
        <v>2013</v>
      </c>
      <c r="G118" s="3" t="str">
        <f t="shared" si="7"/>
        <v>Oct</v>
      </c>
      <c r="H118" s="3" t="str">
        <f t="shared" si="8"/>
        <v>Q4</v>
      </c>
      <c r="I118" s="3">
        <f t="shared" si="9"/>
        <v>1.3348551175232677E-2</v>
      </c>
      <c r="J118" s="3">
        <f t="shared" si="10"/>
        <v>3.1213118580736679E-2</v>
      </c>
      <c r="K118" s="3" t="str">
        <f t="shared" si="11"/>
        <v>Normal</v>
      </c>
      <c r="L118" s="4">
        <f>VALUE(A118)</f>
        <v>41562</v>
      </c>
    </row>
    <row r="119" spans="1:12">
      <c r="A119" s="5">
        <v>41563</v>
      </c>
      <c r="B119" s="3">
        <v>310.48998999999998</v>
      </c>
      <c r="C119" s="3">
        <v>62.856116999999998</v>
      </c>
      <c r="D119" s="3">
        <v>157.58999600000001</v>
      </c>
      <c r="E119" s="3">
        <v>46.125712999999998</v>
      </c>
      <c r="F119" s="3">
        <f t="shared" si="6"/>
        <v>2013</v>
      </c>
      <c r="G119" s="3" t="str">
        <f t="shared" si="7"/>
        <v>Oct</v>
      </c>
      <c r="H119" s="3" t="str">
        <f t="shared" si="8"/>
        <v>Q4</v>
      </c>
      <c r="I119" s="3">
        <f t="shared" si="9"/>
        <v>9.0179718837322942E-4</v>
      </c>
      <c r="J119" s="3">
        <f t="shared" si="10"/>
        <v>6.7834274201009487E-2</v>
      </c>
      <c r="K119" s="3" t="str">
        <f t="shared" si="11"/>
        <v>High Volatility</v>
      </c>
      <c r="L119" s="4">
        <f>VALUE(A119)</f>
        <v>41563</v>
      </c>
    </row>
    <row r="120" spans="1:12">
      <c r="A120" s="5">
        <v>41564</v>
      </c>
      <c r="B120" s="3">
        <v>310.76998900000001</v>
      </c>
      <c r="C120" s="3">
        <v>62.827831000000003</v>
      </c>
      <c r="D120" s="3">
        <v>168.279999</v>
      </c>
      <c r="E120" s="3">
        <v>47.157142999999998</v>
      </c>
      <c r="F120" s="3">
        <f t="shared" si="6"/>
        <v>2013</v>
      </c>
      <c r="G120" s="3" t="str">
        <f t="shared" si="7"/>
        <v>Oct</v>
      </c>
      <c r="H120" s="3" t="str">
        <f t="shared" si="8"/>
        <v>Q4</v>
      </c>
      <c r="I120" s="3">
        <f t="shared" si="9"/>
        <v>5.8435513861668328E-2</v>
      </c>
      <c r="J120" s="3">
        <f t="shared" si="10"/>
        <v>8.8364601190661932E-2</v>
      </c>
      <c r="K120" s="3" t="str">
        <f t="shared" si="11"/>
        <v>High Volatility</v>
      </c>
      <c r="L120" s="4">
        <f>VALUE(A120)</f>
        <v>41564</v>
      </c>
    </row>
    <row r="121" spans="1:12">
      <c r="A121" s="5">
        <v>41565</v>
      </c>
      <c r="B121" s="3">
        <v>328.92999300000002</v>
      </c>
      <c r="C121" s="3">
        <v>63.223888000000002</v>
      </c>
      <c r="D121" s="3">
        <v>183.14999399999999</v>
      </c>
      <c r="E121" s="3">
        <v>47.642856999999999</v>
      </c>
      <c r="F121" s="3">
        <f t="shared" si="6"/>
        <v>2013</v>
      </c>
      <c r="G121" s="3" t="str">
        <f t="shared" si="7"/>
        <v>Oct</v>
      </c>
      <c r="H121" s="3" t="str">
        <f t="shared" si="8"/>
        <v>Q4</v>
      </c>
      <c r="I121" s="3">
        <f t="shared" si="9"/>
        <v>-7.5699724956368808E-3</v>
      </c>
      <c r="J121" s="3">
        <f t="shared" si="10"/>
        <v>0.10832657193535046</v>
      </c>
      <c r="K121" s="3" t="str">
        <f t="shared" si="11"/>
        <v>High Volatility</v>
      </c>
      <c r="L121" s="4">
        <f>VALUE(A121)</f>
        <v>41565</v>
      </c>
    </row>
    <row r="122" spans="1:12">
      <c r="A122" s="5">
        <v>41568</v>
      </c>
      <c r="B122" s="3">
        <v>326.44000199999999</v>
      </c>
      <c r="C122" s="3">
        <v>63.157848000000001</v>
      </c>
      <c r="D122" s="3">
        <v>202.990005</v>
      </c>
      <c r="E122" s="3">
        <v>50.712856000000002</v>
      </c>
      <c r="F122" s="3">
        <f t="shared" si="6"/>
        <v>2013</v>
      </c>
      <c r="G122" s="3" t="str">
        <f t="shared" si="7"/>
        <v>Oct</v>
      </c>
      <c r="H122" s="3" t="str">
        <f t="shared" si="8"/>
        <v>Q4</v>
      </c>
      <c r="I122" s="3">
        <f t="shared" si="9"/>
        <v>1.8686456814811576E-2</v>
      </c>
      <c r="J122" s="3">
        <f t="shared" si="10"/>
        <v>0.12306022653676964</v>
      </c>
      <c r="K122" s="3" t="str">
        <f t="shared" si="11"/>
        <v>High Volatility</v>
      </c>
      <c r="L122" s="4">
        <f>VALUE(A122)</f>
        <v>41568</v>
      </c>
    </row>
    <row r="123" spans="1:12">
      <c r="A123" s="5">
        <v>41569</v>
      </c>
      <c r="B123" s="3">
        <v>332.540009</v>
      </c>
      <c r="C123" s="3">
        <v>63.374718000000001</v>
      </c>
      <c r="D123" s="3">
        <v>227.970001</v>
      </c>
      <c r="E123" s="3">
        <v>46.074286999999998</v>
      </c>
      <c r="F123" s="3">
        <f t="shared" si="6"/>
        <v>2013</v>
      </c>
      <c r="G123" s="3" t="str">
        <f t="shared" si="7"/>
        <v>Oct</v>
      </c>
      <c r="H123" s="3" t="str">
        <f t="shared" si="8"/>
        <v>Q4</v>
      </c>
      <c r="I123" s="3">
        <f t="shared" si="9"/>
        <v>-1.7381364177445412E-2</v>
      </c>
      <c r="J123" s="3">
        <f t="shared" si="10"/>
        <v>-9.2073539974235452E-2</v>
      </c>
      <c r="K123" s="3" t="str">
        <f t="shared" si="11"/>
        <v>High Volatility</v>
      </c>
      <c r="L123" s="4">
        <f>VALUE(A123)</f>
        <v>41569</v>
      </c>
    </row>
    <row r="124" spans="1:12">
      <c r="A124" s="5">
        <v>41570</v>
      </c>
      <c r="B124" s="3">
        <v>326.76001000000002</v>
      </c>
      <c r="C124" s="3">
        <v>62.563797000000001</v>
      </c>
      <c r="D124" s="3">
        <v>206.979996</v>
      </c>
      <c r="E124" s="3">
        <v>47.177143000000001</v>
      </c>
      <c r="F124" s="3">
        <f t="shared" si="6"/>
        <v>2013</v>
      </c>
      <c r="G124" s="3" t="str">
        <f t="shared" si="7"/>
        <v>Oct</v>
      </c>
      <c r="H124" s="3" t="str">
        <f t="shared" si="8"/>
        <v>Q4</v>
      </c>
      <c r="I124" s="3">
        <f t="shared" si="9"/>
        <v>1.6678849409999648E-2</v>
      </c>
      <c r="J124" s="3">
        <f t="shared" si="10"/>
        <v>-4.3965557908311047E-2</v>
      </c>
      <c r="K124" s="3" t="str">
        <f t="shared" si="11"/>
        <v>Normal</v>
      </c>
      <c r="L124" s="4">
        <f>VALUE(A124)</f>
        <v>41570</v>
      </c>
    </row>
    <row r="125" spans="1:12">
      <c r="A125" s="5">
        <v>41571</v>
      </c>
      <c r="B125" s="3">
        <v>332.209991</v>
      </c>
      <c r="C125" s="3">
        <v>63.544460000000001</v>
      </c>
      <c r="D125" s="3">
        <v>197.88000500000001</v>
      </c>
      <c r="E125" s="3">
        <v>47.317141999999997</v>
      </c>
      <c r="F125" s="3">
        <f t="shared" si="6"/>
        <v>2013</v>
      </c>
      <c r="G125" s="3" t="str">
        <f t="shared" si="7"/>
        <v>Oct</v>
      </c>
      <c r="H125" s="3" t="str">
        <f t="shared" si="8"/>
        <v>Q4</v>
      </c>
      <c r="I125" s="3">
        <f t="shared" si="9"/>
        <v>9.3856370502716169E-2</v>
      </c>
      <c r="J125" s="3">
        <f t="shared" si="10"/>
        <v>-4.7099286256840366E-2</v>
      </c>
      <c r="K125" s="3" t="str">
        <f t="shared" si="11"/>
        <v>Normal</v>
      </c>
      <c r="L125" s="4">
        <f>VALUE(A125)</f>
        <v>41571</v>
      </c>
    </row>
    <row r="126" spans="1:12">
      <c r="A126" s="5">
        <v>41572</v>
      </c>
      <c r="B126" s="3">
        <v>363.39001500000001</v>
      </c>
      <c r="C126" s="3">
        <v>63.657603999999999</v>
      </c>
      <c r="D126" s="3">
        <v>188.55999800000001</v>
      </c>
      <c r="E126" s="3">
        <v>46.861426999999999</v>
      </c>
      <c r="F126" s="3">
        <f t="shared" si="6"/>
        <v>2013</v>
      </c>
      <c r="G126" s="3" t="str">
        <f t="shared" si="7"/>
        <v>Oct</v>
      </c>
      <c r="H126" s="3" t="str">
        <f t="shared" si="8"/>
        <v>Q4</v>
      </c>
      <c r="I126" s="3">
        <f t="shared" si="9"/>
        <v>-1.4392280426307229E-2</v>
      </c>
      <c r="J126" s="3">
        <f t="shared" si="10"/>
        <v>9.7263450331602067E-2</v>
      </c>
      <c r="K126" s="3" t="str">
        <f t="shared" si="11"/>
        <v>High Volatility</v>
      </c>
      <c r="L126" s="4">
        <f>VALUE(A126)</f>
        <v>41572</v>
      </c>
    </row>
    <row r="127" spans="1:12">
      <c r="A127" s="5">
        <v>41575</v>
      </c>
      <c r="B127" s="3">
        <v>358.16000400000001</v>
      </c>
      <c r="C127" s="3">
        <v>63.770752000000002</v>
      </c>
      <c r="D127" s="3">
        <v>206.89999399999999</v>
      </c>
      <c r="E127" s="3">
        <v>44.857143000000001</v>
      </c>
      <c r="F127" s="3">
        <f t="shared" si="6"/>
        <v>2013</v>
      </c>
      <c r="G127" s="3" t="str">
        <f t="shared" si="7"/>
        <v>Oct</v>
      </c>
      <c r="H127" s="3" t="str">
        <f t="shared" si="8"/>
        <v>Q4</v>
      </c>
      <c r="I127" s="3">
        <f t="shared" si="9"/>
        <v>1.2675921234354242E-2</v>
      </c>
      <c r="J127" s="3">
        <f t="shared" si="10"/>
        <v>4.3982630564986906E-2</v>
      </c>
      <c r="K127" s="3" t="str">
        <f t="shared" si="11"/>
        <v>Normal</v>
      </c>
      <c r="L127" s="4">
        <f>VALUE(A127)</f>
        <v>41575</v>
      </c>
    </row>
    <row r="128" spans="1:12">
      <c r="A128" s="5">
        <v>41576</v>
      </c>
      <c r="B128" s="3">
        <v>362.70001200000002</v>
      </c>
      <c r="C128" s="3">
        <v>64.459106000000006</v>
      </c>
      <c r="D128" s="3">
        <v>216</v>
      </c>
      <c r="E128" s="3">
        <v>46.757140999999997</v>
      </c>
      <c r="F128" s="3">
        <f t="shared" si="6"/>
        <v>2013</v>
      </c>
      <c r="G128" s="3" t="str">
        <f t="shared" si="7"/>
        <v>Oct</v>
      </c>
      <c r="H128" s="3" t="str">
        <f t="shared" si="8"/>
        <v>Q4</v>
      </c>
      <c r="I128" s="3">
        <f t="shared" si="9"/>
        <v>-4.4665700204057288E-3</v>
      </c>
      <c r="J128" s="3">
        <f t="shared" si="10"/>
        <v>-3.7037037037037035E-2</v>
      </c>
      <c r="K128" s="3" t="str">
        <f t="shared" si="11"/>
        <v>Normal</v>
      </c>
      <c r="L128" s="4">
        <f>VALUE(A128)</f>
        <v>41576</v>
      </c>
    </row>
    <row r="129" spans="1:12">
      <c r="A129" s="5">
        <v>41577</v>
      </c>
      <c r="B129" s="3">
        <v>361.07998700000002</v>
      </c>
      <c r="C129" s="3">
        <v>63.997062999999997</v>
      </c>
      <c r="D129" s="3">
        <v>208</v>
      </c>
      <c r="E129" s="3">
        <v>45.448569999999997</v>
      </c>
      <c r="F129" s="3">
        <f t="shared" si="6"/>
        <v>2013</v>
      </c>
      <c r="G129" s="3" t="str">
        <f t="shared" si="7"/>
        <v>Oct</v>
      </c>
      <c r="H129" s="3" t="str">
        <f t="shared" si="8"/>
        <v>Q4</v>
      </c>
      <c r="I129" s="3">
        <f t="shared" si="9"/>
        <v>8.1699681682993915E-3</v>
      </c>
      <c r="J129" s="3">
        <f t="shared" si="10"/>
        <v>1.5240374999999964E-2</v>
      </c>
      <c r="K129" s="3" t="str">
        <f t="shared" si="11"/>
        <v>Normal</v>
      </c>
      <c r="L129" s="4">
        <f>VALUE(A129)</f>
        <v>41577</v>
      </c>
    </row>
    <row r="130" spans="1:12">
      <c r="A130" s="5">
        <v>41578</v>
      </c>
      <c r="B130" s="3">
        <v>364.02999899999998</v>
      </c>
      <c r="C130" s="3">
        <v>63.233269</v>
      </c>
      <c r="D130" s="3">
        <v>211.16999799999999</v>
      </c>
      <c r="E130" s="3">
        <v>46.068573000000001</v>
      </c>
      <c r="F130" s="3">
        <f t="shared" si="6"/>
        <v>2013</v>
      </c>
      <c r="G130" s="3" t="str">
        <f t="shared" si="7"/>
        <v>Oct</v>
      </c>
      <c r="H130" s="3" t="str">
        <f t="shared" si="8"/>
        <v>Q4</v>
      </c>
      <c r="I130" s="3">
        <f t="shared" si="9"/>
        <v>-1.3817539801163408E-2</v>
      </c>
      <c r="J130" s="3">
        <f t="shared" si="10"/>
        <v>1.0702254209426111E-2</v>
      </c>
      <c r="K130" s="3" t="str">
        <f t="shared" si="11"/>
        <v>Normal</v>
      </c>
      <c r="L130" s="4">
        <f>VALUE(A130)</f>
        <v>41578</v>
      </c>
    </row>
    <row r="131" spans="1:12">
      <c r="A131" s="5">
        <v>41579</v>
      </c>
      <c r="B131" s="3">
        <v>359</v>
      </c>
      <c r="C131" s="3">
        <v>63.072983000000001</v>
      </c>
      <c r="D131" s="3">
        <v>213.429993</v>
      </c>
      <c r="E131" s="3">
        <v>47.03857</v>
      </c>
      <c r="F131" s="3">
        <f t="shared" ref="F131:F194" si="12">YEAR(A131)</f>
        <v>2013</v>
      </c>
      <c r="G131" s="3" t="str">
        <f t="shared" ref="G131:G194" si="13">TEXT(A131,"MMM")</f>
        <v>Nov</v>
      </c>
      <c r="H131" s="3" t="str">
        <f t="shared" ref="H131:H194" si="14">"Q"&amp;ROUNDUP(MONTH(A131)/3,0)</f>
        <v>Q4</v>
      </c>
      <c r="I131" s="3">
        <f t="shared" ref="I131:I194" si="15">(B132-B131)/B131</f>
        <v>-7.2426183844017408E-4</v>
      </c>
      <c r="J131" s="3">
        <f t="shared" ref="J131:J194" si="16">(D132-D131)/D131</f>
        <v>0.11586942703034241</v>
      </c>
      <c r="K131" s="3" t="str">
        <f t="shared" ref="K131:K194" si="17">IF(J131="","",IF(ABS(J131)&gt;0.05,"High Volatility","Normal"))</f>
        <v>High Volatility</v>
      </c>
      <c r="L131" s="4">
        <f>VALUE(A131)</f>
        <v>41579</v>
      </c>
    </row>
    <row r="132" spans="1:12">
      <c r="A132" s="5">
        <v>41582</v>
      </c>
      <c r="B132" s="3">
        <v>358.73998999999998</v>
      </c>
      <c r="C132" s="3">
        <v>63.270995999999997</v>
      </c>
      <c r="D132" s="3">
        <v>238.16000399999999</v>
      </c>
      <c r="E132" s="3">
        <v>48.228572999999997</v>
      </c>
      <c r="F132" s="3">
        <f t="shared" si="12"/>
        <v>2013</v>
      </c>
      <c r="G132" s="3" t="str">
        <f t="shared" si="13"/>
        <v>Nov</v>
      </c>
      <c r="H132" s="3" t="str">
        <f t="shared" si="14"/>
        <v>Q4</v>
      </c>
      <c r="I132" s="3">
        <f t="shared" si="15"/>
        <v>4.1819982210521844E-4</v>
      </c>
      <c r="J132" s="3">
        <f t="shared" si="16"/>
        <v>5.5172987820406728E-2</v>
      </c>
      <c r="K132" s="3" t="str">
        <f t="shared" si="17"/>
        <v>High Volatility</v>
      </c>
      <c r="L132" s="4">
        <f>VALUE(A132)</f>
        <v>41582</v>
      </c>
    </row>
    <row r="133" spans="1:12">
      <c r="A133" s="5">
        <v>41583</v>
      </c>
      <c r="B133" s="3">
        <v>358.89001500000001</v>
      </c>
      <c r="C133" s="3">
        <v>64.129081999999997</v>
      </c>
      <c r="D133" s="3">
        <v>251.300003</v>
      </c>
      <c r="E133" s="3">
        <v>48.785713000000001</v>
      </c>
      <c r="F133" s="3">
        <f t="shared" si="12"/>
        <v>2013</v>
      </c>
      <c r="G133" s="3" t="str">
        <f t="shared" si="13"/>
        <v>Nov</v>
      </c>
      <c r="H133" s="3" t="str">
        <f t="shared" si="14"/>
        <v>Q4</v>
      </c>
      <c r="I133" s="3">
        <f t="shared" si="15"/>
        <v>-7.5511211979524722E-3</v>
      </c>
      <c r="J133" s="3">
        <f t="shared" si="16"/>
        <v>5.0935148615975159E-2</v>
      </c>
      <c r="K133" s="3" t="str">
        <f t="shared" si="17"/>
        <v>High Volatility</v>
      </c>
      <c r="L133" s="4">
        <f>VALUE(A133)</f>
        <v>41583</v>
      </c>
    </row>
    <row r="134" spans="1:12">
      <c r="A134" s="5">
        <v>41584</v>
      </c>
      <c r="B134" s="3">
        <v>356.17999300000002</v>
      </c>
      <c r="C134" s="3">
        <v>64.053641999999996</v>
      </c>
      <c r="D134" s="3">
        <v>264.10000600000001</v>
      </c>
      <c r="E134" s="3">
        <v>47.947144000000002</v>
      </c>
      <c r="F134" s="3">
        <f t="shared" si="12"/>
        <v>2013</v>
      </c>
      <c r="G134" s="3" t="str">
        <f t="shared" si="13"/>
        <v>Nov</v>
      </c>
      <c r="H134" s="3" t="str">
        <f t="shared" si="14"/>
        <v>Q4</v>
      </c>
      <c r="I134" s="3">
        <f t="shared" si="15"/>
        <v>-3.5431510045540418E-2</v>
      </c>
      <c r="J134" s="3">
        <f t="shared" si="16"/>
        <v>0.17247249892148803</v>
      </c>
      <c r="K134" s="3" t="str">
        <f t="shared" si="17"/>
        <v>High Volatility</v>
      </c>
      <c r="L134" s="4">
        <f>VALUE(A134)</f>
        <v>41584</v>
      </c>
    </row>
    <row r="135" spans="1:12">
      <c r="A135" s="5">
        <v>41585</v>
      </c>
      <c r="B135" s="3">
        <v>343.55999800000001</v>
      </c>
      <c r="C135" s="3">
        <v>62.893828999999997</v>
      </c>
      <c r="D135" s="3">
        <v>309.64999399999999</v>
      </c>
      <c r="E135" s="3">
        <v>46.694285999999998</v>
      </c>
      <c r="F135" s="3">
        <f t="shared" si="12"/>
        <v>2013</v>
      </c>
      <c r="G135" s="3" t="str">
        <f t="shared" si="13"/>
        <v>Nov</v>
      </c>
      <c r="H135" s="3" t="str">
        <f t="shared" si="14"/>
        <v>Q4</v>
      </c>
      <c r="I135" s="3">
        <f t="shared" si="15"/>
        <v>1.96472233068298E-2</v>
      </c>
      <c r="J135" s="3">
        <f t="shared" si="16"/>
        <v>0.14645569797750427</v>
      </c>
      <c r="K135" s="3" t="str">
        <f t="shared" si="17"/>
        <v>High Volatility</v>
      </c>
      <c r="L135" s="4">
        <f>VALUE(A135)</f>
        <v>41585</v>
      </c>
    </row>
    <row r="136" spans="1:12">
      <c r="A136" s="5">
        <v>41586</v>
      </c>
      <c r="B136" s="3">
        <v>350.30999800000001</v>
      </c>
      <c r="C136" s="3">
        <v>63.742488999999999</v>
      </c>
      <c r="D136" s="3">
        <v>355</v>
      </c>
      <c r="E136" s="3">
        <v>47.842857000000002</v>
      </c>
      <c r="F136" s="3">
        <f t="shared" si="12"/>
        <v>2013</v>
      </c>
      <c r="G136" s="3" t="str">
        <f t="shared" si="13"/>
        <v>Nov</v>
      </c>
      <c r="H136" s="3" t="str">
        <f t="shared" si="14"/>
        <v>Q4</v>
      </c>
      <c r="I136" s="3">
        <f t="shared" si="15"/>
        <v>1.1618300999790407E-2</v>
      </c>
      <c r="J136" s="3">
        <f t="shared" si="16"/>
        <v>2.2478904225352085E-2</v>
      </c>
      <c r="K136" s="3" t="str">
        <f t="shared" si="17"/>
        <v>Normal</v>
      </c>
      <c r="L136" s="4">
        <f>VALUE(A136)</f>
        <v>41586</v>
      </c>
    </row>
    <row r="137" spans="1:12">
      <c r="A137" s="5">
        <v>41589</v>
      </c>
      <c r="B137" s="3">
        <v>354.38000499999998</v>
      </c>
      <c r="C137" s="3">
        <v>63.940491000000002</v>
      </c>
      <c r="D137" s="3">
        <v>362.98001099999999</v>
      </c>
      <c r="E137" s="3">
        <v>48.272857999999999</v>
      </c>
      <c r="F137" s="3">
        <f t="shared" si="12"/>
        <v>2013</v>
      </c>
      <c r="G137" s="3" t="str">
        <f t="shared" si="13"/>
        <v>Nov</v>
      </c>
      <c r="H137" s="3" t="str">
        <f t="shared" si="14"/>
        <v>Q4</v>
      </c>
      <c r="I137" s="3">
        <f t="shared" si="15"/>
        <v>-1.3685890658531956E-2</v>
      </c>
      <c r="J137" s="3">
        <f t="shared" si="16"/>
        <v>4.6999827767375345E-2</v>
      </c>
      <c r="K137" s="3" t="str">
        <f t="shared" si="17"/>
        <v>Normal</v>
      </c>
      <c r="L137" s="4">
        <f>VALUE(A137)</f>
        <v>41589</v>
      </c>
    </row>
    <row r="138" spans="1:12">
      <c r="A138" s="5">
        <v>41590</v>
      </c>
      <c r="B138" s="3">
        <v>349.52999899999998</v>
      </c>
      <c r="C138" s="3">
        <v>64.534546000000006</v>
      </c>
      <c r="D138" s="3">
        <v>380.040009</v>
      </c>
      <c r="E138" s="3">
        <v>47.675713000000002</v>
      </c>
      <c r="F138" s="3">
        <f t="shared" si="12"/>
        <v>2013</v>
      </c>
      <c r="G138" s="3" t="str">
        <f t="shared" si="13"/>
        <v>Nov</v>
      </c>
      <c r="H138" s="3" t="str">
        <f t="shared" si="14"/>
        <v>Q4</v>
      </c>
      <c r="I138" s="3">
        <f t="shared" si="15"/>
        <v>1.9139993760592923E-2</v>
      </c>
      <c r="J138" s="3">
        <f t="shared" si="16"/>
        <v>0.14422164956848008</v>
      </c>
      <c r="K138" s="3" t="str">
        <f t="shared" si="17"/>
        <v>High Volatility</v>
      </c>
      <c r="L138" s="4">
        <f>VALUE(A138)</f>
        <v>41590</v>
      </c>
    </row>
    <row r="139" spans="1:12">
      <c r="A139" s="5">
        <v>41591</v>
      </c>
      <c r="B139" s="3">
        <v>356.22000100000002</v>
      </c>
      <c r="C139" s="3">
        <v>65.260581999999999</v>
      </c>
      <c r="D139" s="3">
        <v>434.85000600000001</v>
      </c>
      <c r="E139" s="3">
        <v>47.897143999999997</v>
      </c>
      <c r="F139" s="3">
        <f t="shared" si="12"/>
        <v>2013</v>
      </c>
      <c r="G139" s="3" t="str">
        <f t="shared" si="13"/>
        <v>Nov</v>
      </c>
      <c r="H139" s="3" t="str">
        <f t="shared" si="14"/>
        <v>Q4</v>
      </c>
      <c r="I139" s="3">
        <f t="shared" si="15"/>
        <v>3.1385079357180642E-2</v>
      </c>
      <c r="J139" s="3">
        <f t="shared" si="16"/>
        <v>-3.3345107048245392E-3</v>
      </c>
      <c r="K139" s="3" t="str">
        <f t="shared" si="17"/>
        <v>Normal</v>
      </c>
      <c r="L139" s="4">
        <f>VALUE(A139)</f>
        <v>41591</v>
      </c>
    </row>
    <row r="140" spans="1:12">
      <c r="A140" s="5">
        <v>41592</v>
      </c>
      <c r="B140" s="3">
        <v>367.39999399999999</v>
      </c>
      <c r="C140" s="3">
        <v>65.270034999999993</v>
      </c>
      <c r="D140" s="3">
        <v>433.39999399999999</v>
      </c>
      <c r="E140" s="3">
        <v>48.938572000000001</v>
      </c>
      <c r="F140" s="3">
        <f t="shared" si="12"/>
        <v>2013</v>
      </c>
      <c r="G140" s="3" t="str">
        <f t="shared" si="13"/>
        <v>Nov</v>
      </c>
      <c r="H140" s="3" t="str">
        <f t="shared" si="14"/>
        <v>Q4</v>
      </c>
      <c r="I140" s="3">
        <f t="shared" si="15"/>
        <v>4.8176892457978395E-3</v>
      </c>
      <c r="J140" s="3">
        <f t="shared" si="16"/>
        <v>1.1998592690335632E-3</v>
      </c>
      <c r="K140" s="3" t="str">
        <f t="shared" si="17"/>
        <v>Normal</v>
      </c>
      <c r="L140" s="4">
        <f>VALUE(A140)</f>
        <v>41592</v>
      </c>
    </row>
    <row r="141" spans="1:12">
      <c r="A141" s="5">
        <v>41593</v>
      </c>
      <c r="B141" s="3">
        <v>369.17001299999998</v>
      </c>
      <c r="C141" s="3">
        <v>64.911713000000006</v>
      </c>
      <c r="D141" s="3">
        <v>433.92001299999998</v>
      </c>
      <c r="E141" s="3">
        <v>49.965713999999998</v>
      </c>
      <c r="F141" s="3">
        <f t="shared" si="12"/>
        <v>2013</v>
      </c>
      <c r="G141" s="3" t="str">
        <f t="shared" si="13"/>
        <v>Nov</v>
      </c>
      <c r="H141" s="3" t="str">
        <f t="shared" si="14"/>
        <v>Q4</v>
      </c>
      <c r="I141" s="3">
        <f t="shared" si="15"/>
        <v>-8.0993035585475871E-3</v>
      </c>
      <c r="J141" s="3">
        <f t="shared" si="16"/>
        <v>0.81008012875405222</v>
      </c>
      <c r="K141" s="3" t="str">
        <f t="shared" si="17"/>
        <v>High Volatility</v>
      </c>
      <c r="L141" s="4">
        <f>VALUE(A141)</f>
        <v>41593</v>
      </c>
    </row>
    <row r="142" spans="1:12">
      <c r="A142" s="5">
        <v>41596</v>
      </c>
      <c r="B142" s="3">
        <v>366.17999300000002</v>
      </c>
      <c r="C142" s="3">
        <v>63.997062999999997</v>
      </c>
      <c r="D142" s="3">
        <v>785.42999299999997</v>
      </c>
      <c r="E142" s="3">
        <v>48.824286999999998</v>
      </c>
      <c r="F142" s="3">
        <f t="shared" si="12"/>
        <v>2013</v>
      </c>
      <c r="G142" s="3" t="str">
        <f t="shared" si="13"/>
        <v>Nov</v>
      </c>
      <c r="H142" s="3" t="str">
        <f t="shared" si="14"/>
        <v>Q4</v>
      </c>
      <c r="I142" s="3">
        <f t="shared" si="15"/>
        <v>-3.3862882290241121E-3</v>
      </c>
      <c r="J142" s="3">
        <f t="shared" si="16"/>
        <v>-0.17791527220173259</v>
      </c>
      <c r="K142" s="3" t="str">
        <f t="shared" si="17"/>
        <v>High Volatility</v>
      </c>
      <c r="L142" s="4">
        <f>VALUE(A142)</f>
        <v>41596</v>
      </c>
    </row>
    <row r="143" spans="1:12">
      <c r="A143" s="5">
        <v>41597</v>
      </c>
      <c r="B143" s="3">
        <v>364.94000199999999</v>
      </c>
      <c r="C143" s="3">
        <v>63.799042</v>
      </c>
      <c r="D143" s="3">
        <v>645.69000200000005</v>
      </c>
      <c r="E143" s="3">
        <v>48.184283999999998</v>
      </c>
      <c r="F143" s="3">
        <f t="shared" si="12"/>
        <v>2013</v>
      </c>
      <c r="G143" s="3" t="str">
        <f t="shared" si="13"/>
        <v>Nov</v>
      </c>
      <c r="H143" s="3" t="str">
        <f t="shared" si="14"/>
        <v>Q4</v>
      </c>
      <c r="I143" s="3">
        <f t="shared" si="15"/>
        <v>-6.4942044911810385E-3</v>
      </c>
      <c r="J143" s="3">
        <f t="shared" si="16"/>
        <v>-1.1956249866170394E-2</v>
      </c>
      <c r="K143" s="3" t="str">
        <f t="shared" si="17"/>
        <v>Normal</v>
      </c>
      <c r="L143" s="4">
        <f>VALUE(A143)</f>
        <v>41597</v>
      </c>
    </row>
    <row r="144" spans="1:12">
      <c r="A144" s="5">
        <v>41598</v>
      </c>
      <c r="B144" s="3">
        <v>362.57000699999998</v>
      </c>
      <c r="C144" s="3">
        <v>64.110198999999994</v>
      </c>
      <c r="D144" s="3">
        <v>637.96997099999999</v>
      </c>
      <c r="E144" s="3">
        <v>48.502856999999999</v>
      </c>
      <c r="F144" s="3">
        <f t="shared" si="12"/>
        <v>2013</v>
      </c>
      <c r="G144" s="3" t="str">
        <f t="shared" si="13"/>
        <v>Nov</v>
      </c>
      <c r="H144" s="3" t="str">
        <f t="shared" si="14"/>
        <v>Q4</v>
      </c>
      <c r="I144" s="3">
        <f t="shared" si="15"/>
        <v>1.7513875603063903E-2</v>
      </c>
      <c r="J144" s="3">
        <f t="shared" si="16"/>
        <v>0.19897488560633217</v>
      </c>
      <c r="K144" s="3" t="str">
        <f t="shared" si="17"/>
        <v>High Volatility</v>
      </c>
      <c r="L144" s="4">
        <f>VALUE(A144)</f>
        <v>41598</v>
      </c>
    </row>
    <row r="145" spans="1:12">
      <c r="A145" s="5">
        <v>41599</v>
      </c>
      <c r="B145" s="3">
        <v>368.92001299999998</v>
      </c>
      <c r="C145" s="3">
        <v>65.204048</v>
      </c>
      <c r="D145" s="3">
        <v>764.90997300000004</v>
      </c>
      <c r="E145" s="3">
        <v>49.785713000000001</v>
      </c>
      <c r="F145" s="3">
        <f t="shared" si="12"/>
        <v>2013</v>
      </c>
      <c r="G145" s="3" t="str">
        <f t="shared" si="13"/>
        <v>Nov</v>
      </c>
      <c r="H145" s="3" t="str">
        <f t="shared" si="14"/>
        <v>Q4</v>
      </c>
      <c r="I145" s="3">
        <f t="shared" si="15"/>
        <v>9.1889430785638201E-3</v>
      </c>
      <c r="J145" s="3">
        <f t="shared" si="16"/>
        <v>4.8489401771729758E-2</v>
      </c>
      <c r="K145" s="3" t="str">
        <f t="shared" si="17"/>
        <v>Normal</v>
      </c>
      <c r="L145" s="4">
        <f>VALUE(A145)</f>
        <v>41599</v>
      </c>
    </row>
    <row r="146" spans="1:12">
      <c r="A146" s="5">
        <v>41600</v>
      </c>
      <c r="B146" s="3">
        <v>372.30999800000001</v>
      </c>
      <c r="C146" s="3">
        <v>65.769783000000004</v>
      </c>
      <c r="D146" s="3">
        <v>802</v>
      </c>
      <c r="E146" s="3">
        <v>49.692855999999999</v>
      </c>
      <c r="F146" s="3">
        <f t="shared" si="12"/>
        <v>2013</v>
      </c>
      <c r="G146" s="3" t="str">
        <f t="shared" si="13"/>
        <v>Nov</v>
      </c>
      <c r="H146" s="3" t="str">
        <f t="shared" si="14"/>
        <v>Q4</v>
      </c>
      <c r="I146" s="3">
        <f t="shared" si="15"/>
        <v>1.1630138925251204E-2</v>
      </c>
      <c r="J146" s="3">
        <f t="shared" si="16"/>
        <v>3.4900236907730718E-2</v>
      </c>
      <c r="K146" s="3" t="str">
        <f t="shared" si="17"/>
        <v>Normal</v>
      </c>
      <c r="L146" s="4">
        <f>VALUE(A146)</f>
        <v>41600</v>
      </c>
    </row>
    <row r="147" spans="1:12">
      <c r="A147" s="5">
        <v>41603</v>
      </c>
      <c r="B147" s="3">
        <v>376.64001500000001</v>
      </c>
      <c r="C147" s="3">
        <v>65.552909999999997</v>
      </c>
      <c r="D147" s="3">
        <v>829.98999000000003</v>
      </c>
      <c r="E147" s="3">
        <v>50.034286000000002</v>
      </c>
      <c r="F147" s="3">
        <f t="shared" si="12"/>
        <v>2013</v>
      </c>
      <c r="G147" s="3" t="str">
        <f t="shared" si="13"/>
        <v>Nov</v>
      </c>
      <c r="H147" s="3" t="str">
        <f t="shared" si="14"/>
        <v>Q4</v>
      </c>
      <c r="I147" s="3">
        <f t="shared" si="15"/>
        <v>1.2558357613701804E-2</v>
      </c>
      <c r="J147" s="3">
        <f t="shared" si="16"/>
        <v>0.16864062661767756</v>
      </c>
      <c r="K147" s="3" t="str">
        <f t="shared" si="17"/>
        <v>High Volatility</v>
      </c>
      <c r="L147" s="4">
        <f>VALUE(A147)</f>
        <v>41603</v>
      </c>
    </row>
    <row r="148" spans="1:12">
      <c r="A148" s="5">
        <v>41604</v>
      </c>
      <c r="B148" s="3">
        <v>381.36999500000002</v>
      </c>
      <c r="C148" s="3">
        <v>65.439757999999998</v>
      </c>
      <c r="D148" s="3">
        <v>969.96002199999998</v>
      </c>
      <c r="E148" s="3">
        <v>50.742859000000003</v>
      </c>
      <c r="F148" s="3">
        <f t="shared" si="12"/>
        <v>2013</v>
      </c>
      <c r="G148" s="3" t="str">
        <f t="shared" si="13"/>
        <v>Nov</v>
      </c>
      <c r="H148" s="3" t="str">
        <f t="shared" si="14"/>
        <v>Q4</v>
      </c>
      <c r="I148" s="3">
        <f t="shared" si="15"/>
        <v>1.4002139837980659E-2</v>
      </c>
      <c r="J148" s="3">
        <f t="shared" si="16"/>
        <v>0.11333456071037944</v>
      </c>
      <c r="K148" s="3" t="str">
        <f t="shared" si="17"/>
        <v>High Volatility</v>
      </c>
      <c r="L148" s="4">
        <f>VALUE(A148)</f>
        <v>41604</v>
      </c>
    </row>
    <row r="149" spans="1:12">
      <c r="A149" s="5">
        <v>41605</v>
      </c>
      <c r="B149" s="3">
        <v>386.709991</v>
      </c>
      <c r="C149" s="3">
        <v>65.354889</v>
      </c>
      <c r="D149" s="3">
        <v>1079.8900149999999</v>
      </c>
      <c r="E149" s="3">
        <v>51.784286000000002</v>
      </c>
      <c r="F149" s="3">
        <f t="shared" si="12"/>
        <v>2013</v>
      </c>
      <c r="G149" s="3" t="str">
        <f t="shared" si="13"/>
        <v>Nov</v>
      </c>
      <c r="H149" s="3" t="str">
        <f t="shared" si="14"/>
        <v>Q4</v>
      </c>
      <c r="I149" s="3">
        <f t="shared" si="15"/>
        <v>1.7868697889421779E-2</v>
      </c>
      <c r="J149" s="3">
        <f t="shared" si="16"/>
        <v>0.11764164612634184</v>
      </c>
      <c r="K149" s="3" t="str">
        <f t="shared" si="17"/>
        <v>High Volatility</v>
      </c>
      <c r="L149" s="4">
        <f>VALUE(A149)</f>
        <v>41605</v>
      </c>
    </row>
    <row r="150" spans="1:12">
      <c r="A150" s="5">
        <v>41607</v>
      </c>
      <c r="B150" s="3">
        <v>393.61999500000002</v>
      </c>
      <c r="C150" s="3">
        <v>65.185158000000001</v>
      </c>
      <c r="D150" s="3">
        <v>1206.9300539999999</v>
      </c>
      <c r="E150" s="3">
        <v>52.257140999999997</v>
      </c>
      <c r="F150" s="3">
        <f t="shared" si="12"/>
        <v>2013</v>
      </c>
      <c r="G150" s="3" t="str">
        <f t="shared" si="13"/>
        <v>Nov</v>
      </c>
      <c r="H150" s="3" t="str">
        <f t="shared" si="14"/>
        <v>Q4</v>
      </c>
      <c r="I150" s="3">
        <f t="shared" si="15"/>
        <v>-3.3535059620130128E-3</v>
      </c>
      <c r="J150" s="3">
        <f t="shared" si="16"/>
        <v>-9.1446885951851548E-2</v>
      </c>
      <c r="K150" s="3" t="str">
        <f t="shared" si="17"/>
        <v>High Volatility</v>
      </c>
      <c r="L150" s="4">
        <f>VALUE(A150)</f>
        <v>41607</v>
      </c>
    </row>
    <row r="151" spans="1:12">
      <c r="A151" s="5">
        <v>41610</v>
      </c>
      <c r="B151" s="3">
        <v>392.29998799999998</v>
      </c>
      <c r="C151" s="3">
        <v>64.657111999999998</v>
      </c>
      <c r="D151" s="3">
        <v>1096.5600589999999</v>
      </c>
      <c r="E151" s="3">
        <v>51.988571</v>
      </c>
      <c r="F151" s="3">
        <f t="shared" si="12"/>
        <v>2013</v>
      </c>
      <c r="G151" s="3" t="str">
        <f t="shared" si="13"/>
        <v>Dec</v>
      </c>
      <c r="H151" s="3" t="str">
        <f t="shared" si="14"/>
        <v>Q4</v>
      </c>
      <c r="I151" s="3">
        <f t="shared" si="15"/>
        <v>-1.9474851475141951E-2</v>
      </c>
      <c r="J151" s="3">
        <f t="shared" si="16"/>
        <v>5.3166195067478876E-2</v>
      </c>
      <c r="K151" s="3" t="str">
        <f t="shared" si="17"/>
        <v>High Volatility</v>
      </c>
      <c r="L151" s="4">
        <f>VALUE(A151)</f>
        <v>41610</v>
      </c>
    </row>
    <row r="152" spans="1:12">
      <c r="A152" s="5">
        <v>41611</v>
      </c>
      <c r="B152" s="3">
        <v>384.66000400000001</v>
      </c>
      <c r="C152" s="3">
        <v>64.345946999999995</v>
      </c>
      <c r="D152" s="3">
        <v>1154.8599850000001</v>
      </c>
      <c r="E152" s="3">
        <v>51.848571999999997</v>
      </c>
      <c r="F152" s="3">
        <f t="shared" si="12"/>
        <v>2013</v>
      </c>
      <c r="G152" s="3" t="str">
        <f t="shared" si="13"/>
        <v>Dec</v>
      </c>
      <c r="H152" s="3" t="str">
        <f t="shared" si="14"/>
        <v>Q4</v>
      </c>
      <c r="I152" s="3">
        <f t="shared" si="15"/>
        <v>3.3795741342528226E-3</v>
      </c>
      <c r="J152" s="3">
        <f t="shared" si="16"/>
        <v>7.1601808941366946E-2</v>
      </c>
      <c r="K152" s="3" t="str">
        <f t="shared" si="17"/>
        <v>High Volatility</v>
      </c>
      <c r="L152" s="4">
        <f>VALUE(A152)</f>
        <v>41611</v>
      </c>
    </row>
    <row r="153" spans="1:12">
      <c r="A153" s="5">
        <v>41612</v>
      </c>
      <c r="B153" s="3">
        <v>385.959991</v>
      </c>
      <c r="C153" s="3">
        <v>64.789124000000001</v>
      </c>
      <c r="D153" s="3">
        <v>1237.5500489999999</v>
      </c>
      <c r="E153" s="3">
        <v>50.895713999999998</v>
      </c>
      <c r="F153" s="3">
        <f t="shared" si="12"/>
        <v>2013</v>
      </c>
      <c r="G153" s="3" t="str">
        <f t="shared" si="13"/>
        <v>Dec</v>
      </c>
      <c r="H153" s="3" t="str">
        <f t="shared" si="14"/>
        <v>Q4</v>
      </c>
      <c r="I153" s="3">
        <f t="shared" si="15"/>
        <v>-3.8086875175619558E-3</v>
      </c>
      <c r="J153" s="3">
        <f t="shared" si="16"/>
        <v>-0.10601597333862656</v>
      </c>
      <c r="K153" s="3" t="str">
        <f t="shared" si="17"/>
        <v>High Volatility</v>
      </c>
      <c r="L153" s="4">
        <f>VALUE(A153)</f>
        <v>41612</v>
      </c>
    </row>
    <row r="154" spans="1:12">
      <c r="A154" s="5">
        <v>41613</v>
      </c>
      <c r="B154" s="3">
        <v>384.48998999999998</v>
      </c>
      <c r="C154" s="3">
        <v>65.354889</v>
      </c>
      <c r="D154" s="3">
        <v>1106.349976</v>
      </c>
      <c r="E154" s="3">
        <v>51.151428000000003</v>
      </c>
      <c r="F154" s="3">
        <f t="shared" si="12"/>
        <v>2013</v>
      </c>
      <c r="G154" s="3" t="str">
        <f t="shared" si="13"/>
        <v>Dec</v>
      </c>
      <c r="H154" s="3" t="str">
        <f t="shared" si="14"/>
        <v>Q4</v>
      </c>
      <c r="I154" s="3">
        <f t="shared" si="15"/>
        <v>6.3981431610223138E-3</v>
      </c>
      <c r="J154" s="3">
        <f t="shared" si="16"/>
        <v>-0.23620912158812207</v>
      </c>
      <c r="K154" s="3" t="str">
        <f t="shared" si="17"/>
        <v>High Volatility</v>
      </c>
      <c r="L154" s="4">
        <f>VALUE(A154)</f>
        <v>41613</v>
      </c>
    </row>
    <row r="155" spans="1:12">
      <c r="A155" s="5">
        <v>41614</v>
      </c>
      <c r="B155" s="3">
        <v>386.95001200000002</v>
      </c>
      <c r="C155" s="3">
        <v>65.798079999999999</v>
      </c>
      <c r="D155" s="3">
        <v>845.02002000000005</v>
      </c>
      <c r="E155" s="3">
        <v>50.634284999999998</v>
      </c>
      <c r="F155" s="3">
        <f t="shared" si="12"/>
        <v>2013</v>
      </c>
      <c r="G155" s="3" t="str">
        <f t="shared" si="13"/>
        <v>Dec</v>
      </c>
      <c r="H155" s="3" t="str">
        <f t="shared" si="14"/>
        <v>Q4</v>
      </c>
      <c r="I155" s="3">
        <f t="shared" si="15"/>
        <v>-5.3236773126137281E-3</v>
      </c>
      <c r="J155" s="3">
        <f t="shared" si="16"/>
        <v>8.7489041975597176E-2</v>
      </c>
      <c r="K155" s="3" t="str">
        <f t="shared" si="17"/>
        <v>High Volatility</v>
      </c>
      <c r="L155" s="4">
        <f>VALUE(A155)</f>
        <v>41614</v>
      </c>
    </row>
    <row r="156" spans="1:12">
      <c r="A156" s="5">
        <v>41617</v>
      </c>
      <c r="B156" s="3">
        <v>384.89001500000001</v>
      </c>
      <c r="C156" s="3">
        <v>66.590141000000003</v>
      </c>
      <c r="D156" s="3">
        <v>918.95001200000002</v>
      </c>
      <c r="E156" s="3">
        <v>50.810001</v>
      </c>
      <c r="F156" s="3">
        <f t="shared" si="12"/>
        <v>2013</v>
      </c>
      <c r="G156" s="3" t="str">
        <f t="shared" si="13"/>
        <v>Dec</v>
      </c>
      <c r="H156" s="3" t="str">
        <f t="shared" si="14"/>
        <v>Q4</v>
      </c>
      <c r="I156" s="3">
        <f t="shared" si="15"/>
        <v>7.5085969689288245E-3</v>
      </c>
      <c r="J156" s="3">
        <f t="shared" si="16"/>
        <v>0.12489249415233696</v>
      </c>
      <c r="K156" s="3" t="str">
        <f t="shared" si="17"/>
        <v>High Volatility</v>
      </c>
      <c r="L156" s="4">
        <f>VALUE(A156)</f>
        <v>41617</v>
      </c>
    </row>
    <row r="157" spans="1:12">
      <c r="A157" s="5">
        <v>41618</v>
      </c>
      <c r="B157" s="3">
        <v>387.77999899999998</v>
      </c>
      <c r="C157" s="3">
        <v>65.760361000000003</v>
      </c>
      <c r="D157" s="3">
        <v>1033.719971</v>
      </c>
      <c r="E157" s="3">
        <v>51.871428999999999</v>
      </c>
      <c r="F157" s="3">
        <f t="shared" si="12"/>
        <v>2013</v>
      </c>
      <c r="G157" s="3" t="str">
        <f t="shared" si="13"/>
        <v>Dec</v>
      </c>
      <c r="H157" s="3" t="str">
        <f t="shared" si="14"/>
        <v>Q4</v>
      </c>
      <c r="I157" s="3">
        <f t="shared" si="15"/>
        <v>-1.4415382470512573E-2</v>
      </c>
      <c r="J157" s="3">
        <f t="shared" si="16"/>
        <v>-0.1100781461055859</v>
      </c>
      <c r="K157" s="3" t="str">
        <f t="shared" si="17"/>
        <v>High Volatility</v>
      </c>
      <c r="L157" s="4">
        <f>VALUE(A157)</f>
        <v>41618</v>
      </c>
    </row>
    <row r="158" spans="1:12">
      <c r="A158" s="5">
        <v>41619</v>
      </c>
      <c r="B158" s="3">
        <v>382.19000199999999</v>
      </c>
      <c r="C158" s="3">
        <v>65.268615999999994</v>
      </c>
      <c r="D158" s="3">
        <v>919.92999299999997</v>
      </c>
      <c r="E158" s="3">
        <v>51.997143000000001</v>
      </c>
      <c r="F158" s="3">
        <f t="shared" si="12"/>
        <v>2013</v>
      </c>
      <c r="G158" s="3" t="str">
        <f t="shared" si="13"/>
        <v>Dec</v>
      </c>
      <c r="H158" s="3" t="str">
        <f t="shared" si="14"/>
        <v>Q4</v>
      </c>
      <c r="I158" s="3">
        <f t="shared" si="15"/>
        <v>-2.4595148880948298E-3</v>
      </c>
      <c r="J158" s="3">
        <f t="shared" si="16"/>
        <v>-2.1686446959882973E-2</v>
      </c>
      <c r="K158" s="3" t="str">
        <f t="shared" si="17"/>
        <v>Normal</v>
      </c>
      <c r="L158" s="4">
        <f>VALUE(A158)</f>
        <v>41619</v>
      </c>
    </row>
    <row r="159" spans="1:12">
      <c r="A159" s="5">
        <v>41620</v>
      </c>
      <c r="B159" s="3">
        <v>381.25</v>
      </c>
      <c r="C159" s="3">
        <v>65.278084000000007</v>
      </c>
      <c r="D159" s="3">
        <v>899.97997999999995</v>
      </c>
      <c r="E159" s="3">
        <v>53.332858999999999</v>
      </c>
      <c r="F159" s="3">
        <f t="shared" si="12"/>
        <v>2013</v>
      </c>
      <c r="G159" s="3" t="str">
        <f t="shared" si="13"/>
        <v>Dec</v>
      </c>
      <c r="H159" s="3" t="str">
        <f t="shared" si="14"/>
        <v>Q4</v>
      </c>
      <c r="I159" s="3">
        <f t="shared" si="15"/>
        <v>7.8425967213114171E-3</v>
      </c>
      <c r="J159" s="3">
        <f t="shared" si="16"/>
        <v>4.0878731546895176E-2</v>
      </c>
      <c r="K159" s="3" t="str">
        <f t="shared" si="17"/>
        <v>Normal</v>
      </c>
      <c r="L159" s="4">
        <f>VALUE(A159)</f>
        <v>41620</v>
      </c>
    </row>
    <row r="160" spans="1:12">
      <c r="A160" s="5">
        <v>41621</v>
      </c>
      <c r="B160" s="3">
        <v>384.23998999999998</v>
      </c>
      <c r="C160" s="3">
        <v>65.429374999999993</v>
      </c>
      <c r="D160" s="3">
        <v>936.77002000000005</v>
      </c>
      <c r="E160" s="3">
        <v>52.709999000000003</v>
      </c>
      <c r="F160" s="3">
        <f t="shared" si="12"/>
        <v>2013</v>
      </c>
      <c r="G160" s="3" t="str">
        <f t="shared" si="13"/>
        <v>Dec</v>
      </c>
      <c r="H160" s="3" t="str">
        <f t="shared" si="14"/>
        <v>Q4</v>
      </c>
      <c r="I160" s="3">
        <f t="shared" si="15"/>
        <v>1.2310043522539253E-2</v>
      </c>
      <c r="J160" s="3">
        <f t="shared" si="16"/>
        <v>-0.18878703761249749</v>
      </c>
      <c r="K160" s="3" t="str">
        <f t="shared" si="17"/>
        <v>High Volatility</v>
      </c>
      <c r="L160" s="4">
        <f>VALUE(A160)</f>
        <v>41621</v>
      </c>
    </row>
    <row r="161" spans="1:12">
      <c r="A161" s="5">
        <v>41624</v>
      </c>
      <c r="B161" s="3">
        <v>388.97000100000002</v>
      </c>
      <c r="C161" s="3">
        <v>65.732017999999997</v>
      </c>
      <c r="D161" s="3">
        <v>759.919983</v>
      </c>
      <c r="E161" s="3">
        <v>52.330002</v>
      </c>
      <c r="F161" s="3">
        <f t="shared" si="12"/>
        <v>2013</v>
      </c>
      <c r="G161" s="3" t="str">
        <f t="shared" si="13"/>
        <v>Dec</v>
      </c>
      <c r="H161" s="3" t="str">
        <f t="shared" si="14"/>
        <v>Q4</v>
      </c>
      <c r="I161" s="3">
        <f t="shared" si="15"/>
        <v>-3.3935958984148812E-3</v>
      </c>
      <c r="J161" s="3">
        <f t="shared" si="16"/>
        <v>-5.9150980373679704E-2</v>
      </c>
      <c r="K161" s="3" t="str">
        <f t="shared" si="17"/>
        <v>High Volatility</v>
      </c>
      <c r="L161" s="4">
        <f>VALUE(A161)</f>
        <v>41624</v>
      </c>
    </row>
    <row r="162" spans="1:12">
      <c r="A162" s="5">
        <v>41625</v>
      </c>
      <c r="B162" s="3">
        <v>387.64999399999999</v>
      </c>
      <c r="C162" s="3">
        <v>65.741446999999994</v>
      </c>
      <c r="D162" s="3">
        <v>714.96997099999999</v>
      </c>
      <c r="E162" s="3">
        <v>53.552855999999998</v>
      </c>
      <c r="F162" s="3">
        <f t="shared" si="12"/>
        <v>2013</v>
      </c>
      <c r="G162" s="3" t="str">
        <f t="shared" si="13"/>
        <v>Dec</v>
      </c>
      <c r="H162" s="3" t="str">
        <f t="shared" si="14"/>
        <v>Q4</v>
      </c>
      <c r="I162" s="3">
        <f t="shared" si="15"/>
        <v>2.1436855742605815E-2</v>
      </c>
      <c r="J162" s="3">
        <f t="shared" si="16"/>
        <v>-0.24335286523523103</v>
      </c>
      <c r="K162" s="3" t="str">
        <f t="shared" si="17"/>
        <v>High Volatility</v>
      </c>
      <c r="L162" s="4">
        <f>VALUE(A162)</f>
        <v>41625</v>
      </c>
    </row>
    <row r="163" spans="1:12">
      <c r="A163" s="5">
        <v>41626</v>
      </c>
      <c r="B163" s="3">
        <v>395.959991</v>
      </c>
      <c r="C163" s="3">
        <v>66.157532000000003</v>
      </c>
      <c r="D163" s="3">
        <v>540.97997999999995</v>
      </c>
      <c r="E163" s="3">
        <v>53.748573</v>
      </c>
      <c r="F163" s="3">
        <f t="shared" si="12"/>
        <v>2013</v>
      </c>
      <c r="G163" s="3" t="str">
        <f t="shared" si="13"/>
        <v>Dec</v>
      </c>
      <c r="H163" s="3" t="str">
        <f t="shared" si="14"/>
        <v>Q4</v>
      </c>
      <c r="I163" s="3">
        <f t="shared" si="15"/>
        <v>-1.9446131364317806E-3</v>
      </c>
      <c r="J163" s="3">
        <f t="shared" si="16"/>
        <v>0.35300757710109731</v>
      </c>
      <c r="K163" s="3" t="str">
        <f t="shared" si="17"/>
        <v>High Volatility</v>
      </c>
      <c r="L163" s="4">
        <f>VALUE(A163)</f>
        <v>41626</v>
      </c>
    </row>
    <row r="164" spans="1:12">
      <c r="A164" s="5">
        <v>41627</v>
      </c>
      <c r="B164" s="3">
        <v>395.19000199999999</v>
      </c>
      <c r="C164" s="3">
        <v>64.947090000000003</v>
      </c>
      <c r="D164" s="3">
        <v>731.95001200000002</v>
      </c>
      <c r="E164" s="3">
        <v>53.82</v>
      </c>
      <c r="F164" s="3">
        <f t="shared" si="12"/>
        <v>2013</v>
      </c>
      <c r="G164" s="3" t="str">
        <f t="shared" si="13"/>
        <v>Dec</v>
      </c>
      <c r="H164" s="3" t="str">
        <f t="shared" si="14"/>
        <v>Q4</v>
      </c>
      <c r="I164" s="3">
        <f t="shared" si="15"/>
        <v>1.7738328309226867E-2</v>
      </c>
      <c r="J164" s="3">
        <f t="shared" si="16"/>
        <v>-0.11201583257846853</v>
      </c>
      <c r="K164" s="3" t="str">
        <f t="shared" si="17"/>
        <v>High Volatility</v>
      </c>
      <c r="L164" s="4">
        <f>VALUE(A164)</f>
        <v>41627</v>
      </c>
    </row>
    <row r="165" spans="1:12">
      <c r="A165" s="5">
        <v>41628</v>
      </c>
      <c r="B165" s="3">
        <v>402.20001200000002</v>
      </c>
      <c r="C165" s="3">
        <v>65.202393000000001</v>
      </c>
      <c r="D165" s="3">
        <v>649.96002199999998</v>
      </c>
      <c r="E165" s="3">
        <v>53.667141000000001</v>
      </c>
      <c r="F165" s="3">
        <f t="shared" si="12"/>
        <v>2013</v>
      </c>
      <c r="G165" s="3" t="str">
        <f t="shared" si="13"/>
        <v>Dec</v>
      </c>
      <c r="H165" s="3" t="str">
        <f t="shared" si="14"/>
        <v>Q4</v>
      </c>
      <c r="I165" s="3">
        <f t="shared" si="15"/>
        <v>1.7901565850772969E-3</v>
      </c>
      <c r="J165" s="3">
        <f t="shared" si="16"/>
        <v>9.7359784999207319E-2</v>
      </c>
      <c r="K165" s="3" t="str">
        <f t="shared" si="17"/>
        <v>High Volatility</v>
      </c>
      <c r="L165" s="4">
        <f>VALUE(A165)</f>
        <v>41628</v>
      </c>
    </row>
    <row r="166" spans="1:12">
      <c r="A166" s="5">
        <v>41631</v>
      </c>
      <c r="B166" s="3">
        <v>402.92001299999998</v>
      </c>
      <c r="C166" s="3">
        <v>65.892746000000002</v>
      </c>
      <c r="D166" s="3">
        <v>713.23999000000003</v>
      </c>
      <c r="E166" s="3">
        <v>54.368572</v>
      </c>
      <c r="F166" s="3">
        <f t="shared" si="12"/>
        <v>2013</v>
      </c>
      <c r="G166" s="3" t="str">
        <f t="shared" si="13"/>
        <v>Dec</v>
      </c>
      <c r="H166" s="3" t="str">
        <f t="shared" si="14"/>
        <v>Q4</v>
      </c>
      <c r="I166" s="3">
        <f t="shared" si="15"/>
        <v>-9.2326041893579704E-3</v>
      </c>
      <c r="J166" s="3">
        <f t="shared" si="16"/>
        <v>-1.470751801227527E-2</v>
      </c>
      <c r="K166" s="3" t="str">
        <f t="shared" si="17"/>
        <v>Normal</v>
      </c>
      <c r="L166" s="4">
        <f>VALUE(A166)</f>
        <v>41631</v>
      </c>
    </row>
    <row r="167" spans="1:12">
      <c r="A167" s="5">
        <v>41632</v>
      </c>
      <c r="B167" s="3">
        <v>399.20001200000002</v>
      </c>
      <c r="C167" s="3">
        <v>66.062965000000005</v>
      </c>
      <c r="D167" s="3">
        <v>702.75</v>
      </c>
      <c r="E167" s="3">
        <v>54.055714000000002</v>
      </c>
      <c r="F167" s="3">
        <f t="shared" si="12"/>
        <v>2013</v>
      </c>
      <c r="G167" s="3" t="str">
        <f t="shared" si="13"/>
        <v>Dec</v>
      </c>
      <c r="H167" s="3" t="str">
        <f t="shared" si="14"/>
        <v>Q4</v>
      </c>
      <c r="I167" s="3">
        <f t="shared" si="15"/>
        <v>1.3001009128226153E-2</v>
      </c>
      <c r="J167" s="3">
        <f t="shared" si="16"/>
        <v>0.14120239060832437</v>
      </c>
      <c r="K167" s="3" t="str">
        <f t="shared" si="17"/>
        <v>High Volatility</v>
      </c>
      <c r="L167" s="4">
        <f>VALUE(A167)</f>
        <v>41632</v>
      </c>
    </row>
    <row r="168" spans="1:12">
      <c r="A168" s="5">
        <v>41634</v>
      </c>
      <c r="B168" s="3">
        <v>404.39001500000001</v>
      </c>
      <c r="C168" s="3">
        <v>66.838393999999994</v>
      </c>
      <c r="D168" s="3">
        <v>801.97997999999995</v>
      </c>
      <c r="E168" s="3">
        <v>53.847141000000001</v>
      </c>
      <c r="F168" s="3">
        <f t="shared" si="12"/>
        <v>2013</v>
      </c>
      <c r="G168" s="3" t="str">
        <f t="shared" si="13"/>
        <v>Dec</v>
      </c>
      <c r="H168" s="3" t="str">
        <f t="shared" si="14"/>
        <v>Q4</v>
      </c>
      <c r="I168" s="3">
        <f t="shared" si="15"/>
        <v>-1.5603817517601141E-2</v>
      </c>
      <c r="J168" s="3">
        <f t="shared" si="16"/>
        <v>1.3342078688797568E-3</v>
      </c>
      <c r="K168" s="3" t="str">
        <f t="shared" si="17"/>
        <v>Normal</v>
      </c>
      <c r="L168" s="4">
        <f>VALUE(A168)</f>
        <v>41634</v>
      </c>
    </row>
    <row r="169" spans="1:12">
      <c r="A169" s="5">
        <v>41635</v>
      </c>
      <c r="B169" s="3">
        <v>398.07998700000002</v>
      </c>
      <c r="C169" s="3">
        <v>66.384476000000006</v>
      </c>
      <c r="D169" s="3">
        <v>803.04998799999998</v>
      </c>
      <c r="E169" s="3">
        <v>52.5</v>
      </c>
      <c r="F169" s="3">
        <f t="shared" si="12"/>
        <v>2013</v>
      </c>
      <c r="G169" s="3" t="str">
        <f t="shared" si="13"/>
        <v>Dec</v>
      </c>
      <c r="H169" s="3" t="str">
        <f t="shared" si="14"/>
        <v>Q4</v>
      </c>
      <c r="I169" s="3">
        <f t="shared" si="15"/>
        <v>-1.1831772894425862E-2</v>
      </c>
      <c r="J169" s="3">
        <f t="shared" si="16"/>
        <v>2.2165855508362365E-3</v>
      </c>
      <c r="K169" s="3" t="str">
        <f t="shared" si="17"/>
        <v>Normal</v>
      </c>
      <c r="L169" s="4">
        <f>VALUE(A169)</f>
        <v>41635</v>
      </c>
    </row>
    <row r="170" spans="1:12">
      <c r="A170" s="5">
        <v>41638</v>
      </c>
      <c r="B170" s="3">
        <v>393.36999500000002</v>
      </c>
      <c r="C170" s="3">
        <v>66.119704999999996</v>
      </c>
      <c r="D170" s="3">
        <v>804.830017</v>
      </c>
      <c r="E170" s="3">
        <v>52.427143000000001</v>
      </c>
      <c r="F170" s="3">
        <f t="shared" si="12"/>
        <v>2013</v>
      </c>
      <c r="G170" s="3" t="str">
        <f t="shared" si="13"/>
        <v>Dec</v>
      </c>
      <c r="H170" s="3" t="str">
        <f t="shared" si="14"/>
        <v>Q4</v>
      </c>
      <c r="I170" s="3">
        <f t="shared" si="15"/>
        <v>1.377841235704818E-2</v>
      </c>
      <c r="J170" s="3">
        <f t="shared" si="16"/>
        <v>1.3791545749467884E-3</v>
      </c>
      <c r="K170" s="3" t="str">
        <f t="shared" si="17"/>
        <v>Normal</v>
      </c>
      <c r="L170" s="4">
        <f>VALUE(A170)</f>
        <v>41638</v>
      </c>
    </row>
    <row r="171" spans="1:12">
      <c r="A171" s="5">
        <v>41639</v>
      </c>
      <c r="B171" s="3">
        <v>398.790009</v>
      </c>
      <c r="C171" s="3">
        <v>65.864372000000003</v>
      </c>
      <c r="D171" s="3">
        <v>805.94000200000005</v>
      </c>
      <c r="E171" s="3">
        <v>52.595714999999998</v>
      </c>
      <c r="F171" s="3">
        <f t="shared" si="12"/>
        <v>2013</v>
      </c>
      <c r="G171" s="3" t="str">
        <f t="shared" si="13"/>
        <v>Dec</v>
      </c>
      <c r="H171" s="3" t="str">
        <f t="shared" si="14"/>
        <v>Q4</v>
      </c>
      <c r="I171" s="3">
        <f t="shared" si="15"/>
        <v>-2.0562400799764595E-3</v>
      </c>
      <c r="J171" s="3">
        <f t="shared" si="16"/>
        <v>6.3242885169509155E-2</v>
      </c>
      <c r="K171" s="3" t="str">
        <f t="shared" si="17"/>
        <v>High Volatility</v>
      </c>
      <c r="L171" s="4">
        <f>VALUE(A171)</f>
        <v>41639</v>
      </c>
    </row>
    <row r="172" spans="1:12">
      <c r="A172" s="5">
        <v>41641</v>
      </c>
      <c r="B172" s="3">
        <v>397.97000100000002</v>
      </c>
      <c r="C172" s="3">
        <v>65.192986000000005</v>
      </c>
      <c r="D172" s="3">
        <v>856.90997300000004</v>
      </c>
      <c r="E172" s="3">
        <v>51.831429</v>
      </c>
      <c r="F172" s="3">
        <f t="shared" si="12"/>
        <v>2014</v>
      </c>
      <c r="G172" s="3" t="str">
        <f t="shared" si="13"/>
        <v>Jan</v>
      </c>
      <c r="H172" s="3" t="str">
        <f t="shared" si="14"/>
        <v>Q1</v>
      </c>
      <c r="I172" s="3">
        <f t="shared" si="15"/>
        <v>-3.844508370368429E-3</v>
      </c>
      <c r="J172" s="3">
        <f t="shared" si="16"/>
        <v>3.1917048303509388E-2</v>
      </c>
      <c r="K172" s="3" t="str">
        <f t="shared" si="17"/>
        <v>Normal</v>
      </c>
      <c r="L172" s="4">
        <f>VALUE(A172)</f>
        <v>41641</v>
      </c>
    </row>
    <row r="173" spans="1:12">
      <c r="A173" s="5">
        <v>41642</v>
      </c>
      <c r="B173" s="3">
        <v>396.44000199999999</v>
      </c>
      <c r="C173" s="3">
        <v>65.230819999999994</v>
      </c>
      <c r="D173" s="3">
        <v>884.26000999999997</v>
      </c>
      <c r="E173" s="3">
        <v>51.871428999999999</v>
      </c>
      <c r="F173" s="3">
        <f t="shared" si="12"/>
        <v>2014</v>
      </c>
      <c r="G173" s="3" t="str">
        <f t="shared" si="13"/>
        <v>Jan</v>
      </c>
      <c r="H173" s="3" t="str">
        <f t="shared" si="14"/>
        <v>Q1</v>
      </c>
      <c r="I173" s="3">
        <f t="shared" si="15"/>
        <v>-7.0880763440214342E-3</v>
      </c>
      <c r="J173" s="3">
        <f t="shared" si="16"/>
        <v>0.14519486638324861</v>
      </c>
      <c r="K173" s="3" t="str">
        <f t="shared" si="17"/>
        <v>High Volatility</v>
      </c>
      <c r="L173" s="4">
        <f>VALUE(A173)</f>
        <v>41642</v>
      </c>
    </row>
    <row r="174" spans="1:12">
      <c r="A174" s="5">
        <v>41645</v>
      </c>
      <c r="B174" s="3">
        <v>393.63000499999998</v>
      </c>
      <c r="C174" s="3">
        <v>65.344261000000003</v>
      </c>
      <c r="D174" s="3">
        <v>1012.650024</v>
      </c>
      <c r="E174" s="3">
        <v>51.367142000000001</v>
      </c>
      <c r="F174" s="3">
        <f t="shared" si="12"/>
        <v>2014</v>
      </c>
      <c r="G174" s="3" t="str">
        <f t="shared" si="13"/>
        <v>Jan</v>
      </c>
      <c r="H174" s="3" t="str">
        <f t="shared" si="14"/>
        <v>Q1</v>
      </c>
      <c r="I174" s="3">
        <f t="shared" si="15"/>
        <v>1.1177994421436426E-2</v>
      </c>
      <c r="J174" s="3">
        <f t="shared" si="16"/>
        <v>-0.13109168701308399</v>
      </c>
      <c r="K174" s="3" t="str">
        <f t="shared" si="17"/>
        <v>High Volatility</v>
      </c>
      <c r="L174" s="4">
        <f>VALUE(A174)</f>
        <v>41645</v>
      </c>
    </row>
    <row r="175" spans="1:12">
      <c r="A175" s="5">
        <v>41646</v>
      </c>
      <c r="B175" s="3">
        <v>398.02999899999998</v>
      </c>
      <c r="C175" s="3">
        <v>65.883269999999996</v>
      </c>
      <c r="D175" s="3">
        <v>879.90002400000003</v>
      </c>
      <c r="E175" s="3">
        <v>48.5</v>
      </c>
      <c r="F175" s="3">
        <f t="shared" si="12"/>
        <v>2014</v>
      </c>
      <c r="G175" s="3" t="str">
        <f t="shared" si="13"/>
        <v>Jan</v>
      </c>
      <c r="H175" s="3" t="str">
        <f t="shared" si="14"/>
        <v>Q1</v>
      </c>
      <c r="I175" s="3">
        <f t="shared" si="15"/>
        <v>9.7731678762233397E-3</v>
      </c>
      <c r="J175" s="3">
        <f t="shared" si="16"/>
        <v>6.6984886228392618E-2</v>
      </c>
      <c r="K175" s="3" t="str">
        <f t="shared" si="17"/>
        <v>High Volatility</v>
      </c>
      <c r="L175" s="4">
        <f>VALUE(A175)</f>
        <v>41646</v>
      </c>
    </row>
    <row r="176" spans="1:12">
      <c r="A176" s="5">
        <v>41647</v>
      </c>
      <c r="B176" s="3">
        <v>401.92001299999998</v>
      </c>
      <c r="C176" s="3">
        <v>65.987312000000003</v>
      </c>
      <c r="D176" s="3">
        <v>938.84002699999996</v>
      </c>
      <c r="E176" s="3">
        <v>48.712856000000002</v>
      </c>
      <c r="F176" s="3">
        <f t="shared" si="12"/>
        <v>2014</v>
      </c>
      <c r="G176" s="3" t="str">
        <f t="shared" si="13"/>
        <v>Jan</v>
      </c>
      <c r="H176" s="3" t="str">
        <f t="shared" si="14"/>
        <v>Q1</v>
      </c>
      <c r="I176" s="3">
        <f t="shared" si="15"/>
        <v>-2.2641395565439551E-3</v>
      </c>
      <c r="J176" s="3">
        <f t="shared" si="16"/>
        <v>-2.0131384960645148E-3</v>
      </c>
      <c r="K176" s="3" t="str">
        <f t="shared" si="17"/>
        <v>Normal</v>
      </c>
      <c r="L176" s="4">
        <f>VALUE(A176)</f>
        <v>41647</v>
      </c>
    </row>
    <row r="177" spans="1:12">
      <c r="A177" s="5">
        <v>41648</v>
      </c>
      <c r="B177" s="3">
        <v>401.01001000000002</v>
      </c>
      <c r="C177" s="3">
        <v>66.460144</v>
      </c>
      <c r="D177" s="3">
        <v>936.95001200000002</v>
      </c>
      <c r="E177" s="3">
        <v>48.150002000000001</v>
      </c>
      <c r="F177" s="3">
        <f t="shared" si="12"/>
        <v>2014</v>
      </c>
      <c r="G177" s="3" t="str">
        <f t="shared" si="13"/>
        <v>Jan</v>
      </c>
      <c r="H177" s="3" t="str">
        <f t="shared" si="14"/>
        <v>Q1</v>
      </c>
      <c r="I177" s="3">
        <f t="shared" si="15"/>
        <v>-8.3539211402728006E-3</v>
      </c>
      <c r="J177" s="3">
        <f t="shared" si="16"/>
        <v>2.2210360994157231E-2</v>
      </c>
      <c r="K177" s="3" t="str">
        <f t="shared" si="17"/>
        <v>Normal</v>
      </c>
      <c r="L177" s="4">
        <f>VALUE(A177)</f>
        <v>41648</v>
      </c>
    </row>
    <row r="178" spans="1:12">
      <c r="A178" s="5">
        <v>41649</v>
      </c>
      <c r="B178" s="3">
        <v>397.66000400000001</v>
      </c>
      <c r="C178" s="3">
        <v>67.339591999999996</v>
      </c>
      <c r="D178" s="3">
        <v>957.76000999999997</v>
      </c>
      <c r="E178" s="3">
        <v>47.448569999999997</v>
      </c>
      <c r="F178" s="3">
        <f t="shared" si="12"/>
        <v>2014</v>
      </c>
      <c r="G178" s="3" t="str">
        <f t="shared" si="13"/>
        <v>Jan</v>
      </c>
      <c r="H178" s="3" t="str">
        <f t="shared" si="14"/>
        <v>Q1</v>
      </c>
      <c r="I178" s="3">
        <f t="shared" si="15"/>
        <v>-1.6798252106842569E-2</v>
      </c>
      <c r="J178" s="3">
        <f t="shared" si="16"/>
        <v>-3.6387024553259359E-2</v>
      </c>
      <c r="K178" s="3" t="str">
        <f t="shared" si="17"/>
        <v>Normal</v>
      </c>
      <c r="L178" s="4">
        <f>VALUE(A178)</f>
        <v>41649</v>
      </c>
    </row>
    <row r="179" spans="1:12">
      <c r="A179" s="5">
        <v>41652</v>
      </c>
      <c r="B179" s="3">
        <v>390.98001099999999</v>
      </c>
      <c r="C179" s="3">
        <v>67.093711999999996</v>
      </c>
      <c r="D179" s="3">
        <v>922.90997300000004</v>
      </c>
      <c r="E179" s="3">
        <v>48.115715000000002</v>
      </c>
      <c r="F179" s="3">
        <f t="shared" si="12"/>
        <v>2014</v>
      </c>
      <c r="G179" s="3" t="str">
        <f t="shared" si="13"/>
        <v>Jan</v>
      </c>
      <c r="H179" s="3" t="str">
        <f t="shared" si="14"/>
        <v>Q1</v>
      </c>
      <c r="I179" s="3">
        <f t="shared" si="15"/>
        <v>1.6778346246453014E-2</v>
      </c>
      <c r="J179" s="3">
        <f t="shared" si="16"/>
        <v>-3.9331506931283566E-3</v>
      </c>
      <c r="K179" s="3" t="str">
        <f t="shared" si="17"/>
        <v>Normal</v>
      </c>
      <c r="L179" s="4">
        <f>VALUE(A179)</f>
        <v>41652</v>
      </c>
    </row>
    <row r="180" spans="1:12">
      <c r="A180" s="5">
        <v>41653</v>
      </c>
      <c r="B180" s="3">
        <v>397.540009</v>
      </c>
      <c r="C180" s="3">
        <v>67.141006000000004</v>
      </c>
      <c r="D180" s="3">
        <v>919.28002900000001</v>
      </c>
      <c r="E180" s="3">
        <v>48.279998999999997</v>
      </c>
      <c r="F180" s="3">
        <f t="shared" si="12"/>
        <v>2014</v>
      </c>
      <c r="G180" s="3" t="str">
        <f t="shared" si="13"/>
        <v>Jan</v>
      </c>
      <c r="H180" s="3" t="str">
        <f t="shared" si="14"/>
        <v>Q1</v>
      </c>
      <c r="I180" s="3">
        <f t="shared" si="15"/>
        <v>-4.2008702575643915E-3</v>
      </c>
      <c r="J180" s="3">
        <f t="shared" si="16"/>
        <v>2.3866440374938215E-2</v>
      </c>
      <c r="K180" s="3" t="str">
        <f t="shared" si="17"/>
        <v>Normal</v>
      </c>
      <c r="L180" s="4">
        <f>VALUE(A180)</f>
        <v>41653</v>
      </c>
    </row>
    <row r="181" spans="1:12">
      <c r="A181" s="5">
        <v>41654</v>
      </c>
      <c r="B181" s="3">
        <v>395.86999500000002</v>
      </c>
      <c r="C181" s="3">
        <v>67.339591999999996</v>
      </c>
      <c r="D181" s="3">
        <v>941.21997099999999</v>
      </c>
      <c r="E181" s="3">
        <v>47.197144000000002</v>
      </c>
      <c r="F181" s="3">
        <f t="shared" si="12"/>
        <v>2014</v>
      </c>
      <c r="G181" s="3" t="str">
        <f t="shared" si="13"/>
        <v>Jan</v>
      </c>
      <c r="H181" s="3" t="str">
        <f t="shared" si="14"/>
        <v>Q1</v>
      </c>
      <c r="I181" s="3">
        <f t="shared" si="15"/>
        <v>-1.7684341042324347E-4</v>
      </c>
      <c r="J181" s="3">
        <f t="shared" si="16"/>
        <v>-2.9461743114670855E-2</v>
      </c>
      <c r="K181" s="3" t="str">
        <f t="shared" si="17"/>
        <v>Normal</v>
      </c>
      <c r="L181" s="4">
        <f>VALUE(A181)</f>
        <v>41654</v>
      </c>
    </row>
    <row r="182" spans="1:12">
      <c r="A182" s="5">
        <v>41655</v>
      </c>
      <c r="B182" s="3">
        <v>395.79998799999998</v>
      </c>
      <c r="C182" s="3">
        <v>67.216674999999995</v>
      </c>
      <c r="D182" s="3">
        <v>913.48999000000003</v>
      </c>
      <c r="E182" s="3">
        <v>47.382857999999999</v>
      </c>
      <c r="F182" s="3">
        <f t="shared" si="12"/>
        <v>2014</v>
      </c>
      <c r="G182" s="3" t="str">
        <f t="shared" si="13"/>
        <v>Jan</v>
      </c>
      <c r="H182" s="3" t="str">
        <f t="shared" si="14"/>
        <v>Q1</v>
      </c>
      <c r="I182" s="3">
        <f t="shared" si="15"/>
        <v>9.626066486894411E-3</v>
      </c>
      <c r="J182" s="3">
        <f t="shared" si="16"/>
        <v>-2.1160622679620166E-2</v>
      </c>
      <c r="K182" s="3" t="str">
        <f t="shared" si="17"/>
        <v>Normal</v>
      </c>
      <c r="L182" s="4">
        <f>VALUE(A182)</f>
        <v>41655</v>
      </c>
    </row>
    <row r="183" spans="1:12">
      <c r="A183" s="5">
        <v>41656</v>
      </c>
      <c r="B183" s="3">
        <v>399.60998499999999</v>
      </c>
      <c r="C183" s="3">
        <v>67.755645999999999</v>
      </c>
      <c r="D183" s="3">
        <v>894.15997300000004</v>
      </c>
      <c r="E183" s="3">
        <v>47.148570999999997</v>
      </c>
      <c r="F183" s="3">
        <f t="shared" si="12"/>
        <v>2014</v>
      </c>
      <c r="G183" s="3" t="str">
        <f t="shared" si="13"/>
        <v>Jan</v>
      </c>
      <c r="H183" s="3" t="str">
        <f t="shared" si="14"/>
        <v>Q1</v>
      </c>
      <c r="I183" s="3">
        <f t="shared" si="15"/>
        <v>1.8618160905063446E-2</v>
      </c>
      <c r="J183" s="3">
        <f t="shared" si="16"/>
        <v>7.610500475847172E-2</v>
      </c>
      <c r="K183" s="3" t="str">
        <f t="shared" si="17"/>
        <v>High Volatility</v>
      </c>
      <c r="L183" s="4">
        <f>VALUE(A183)</f>
        <v>41656</v>
      </c>
    </row>
    <row r="184" spans="1:12">
      <c r="A184" s="5">
        <v>41660</v>
      </c>
      <c r="B184" s="3">
        <v>407.04998799999998</v>
      </c>
      <c r="C184" s="3">
        <v>68.096123000000006</v>
      </c>
      <c r="D184" s="3">
        <v>962.21002199999998</v>
      </c>
      <c r="E184" s="3">
        <v>46.958571999999997</v>
      </c>
      <c r="F184" s="3">
        <f t="shared" si="12"/>
        <v>2014</v>
      </c>
      <c r="G184" s="3" t="str">
        <f t="shared" si="13"/>
        <v>Jan</v>
      </c>
      <c r="H184" s="3" t="str">
        <f t="shared" si="14"/>
        <v>Q1</v>
      </c>
      <c r="I184" s="3">
        <f t="shared" si="15"/>
        <v>-6.1662672251448078E-3</v>
      </c>
      <c r="J184" s="3">
        <f t="shared" si="16"/>
        <v>-1.1702237289729628E-2</v>
      </c>
      <c r="K184" s="3" t="str">
        <f t="shared" si="17"/>
        <v>Normal</v>
      </c>
      <c r="L184" s="4">
        <f>VALUE(A184)</f>
        <v>41660</v>
      </c>
    </row>
    <row r="185" spans="1:12">
      <c r="A185" s="5">
        <v>41661</v>
      </c>
      <c r="B185" s="3">
        <v>404.540009</v>
      </c>
      <c r="C185" s="3">
        <v>69.401107999999994</v>
      </c>
      <c r="D185" s="3">
        <v>950.95001200000002</v>
      </c>
      <c r="E185" s="3">
        <v>47.675713000000002</v>
      </c>
      <c r="F185" s="3">
        <f t="shared" si="12"/>
        <v>2014</v>
      </c>
      <c r="G185" s="3" t="str">
        <f t="shared" si="13"/>
        <v>Jan</v>
      </c>
      <c r="H185" s="3" t="str">
        <f t="shared" si="14"/>
        <v>Q1</v>
      </c>
      <c r="I185" s="3">
        <f t="shared" si="15"/>
        <v>-1.1544010224214883E-2</v>
      </c>
      <c r="J185" s="3">
        <f t="shared" si="16"/>
        <v>-7.1402691143769379E-3</v>
      </c>
      <c r="K185" s="3" t="str">
        <f t="shared" si="17"/>
        <v>Normal</v>
      </c>
      <c r="L185" s="4">
        <f>VALUE(A185)</f>
        <v>41661</v>
      </c>
    </row>
    <row r="186" spans="1:12">
      <c r="A186" s="5">
        <v>41662</v>
      </c>
      <c r="B186" s="3">
        <v>399.86999500000002</v>
      </c>
      <c r="C186" s="3">
        <v>68.890441999999993</v>
      </c>
      <c r="D186" s="3">
        <v>944.15997300000004</v>
      </c>
      <c r="E186" s="3">
        <v>55.531429000000003</v>
      </c>
      <c r="F186" s="3">
        <f t="shared" si="12"/>
        <v>2014</v>
      </c>
      <c r="G186" s="3" t="str">
        <f t="shared" si="13"/>
        <v>Jan</v>
      </c>
      <c r="H186" s="3" t="str">
        <f t="shared" si="14"/>
        <v>Q1</v>
      </c>
      <c r="I186" s="3">
        <f t="shared" si="15"/>
        <v>-3.0684945490846365E-2</v>
      </c>
      <c r="J186" s="3">
        <f t="shared" si="16"/>
        <v>-2.9242909877095637E-2</v>
      </c>
      <c r="K186" s="3" t="str">
        <f t="shared" si="17"/>
        <v>Normal</v>
      </c>
      <c r="L186" s="4">
        <f>VALUE(A186)</f>
        <v>41662</v>
      </c>
    </row>
    <row r="187" spans="1:12">
      <c r="A187" s="5">
        <v>41663</v>
      </c>
      <c r="B187" s="3">
        <v>387.60000600000001</v>
      </c>
      <c r="C187" s="3">
        <v>67.311211</v>
      </c>
      <c r="D187" s="3">
        <v>916.54998799999998</v>
      </c>
      <c r="E187" s="3">
        <v>55.154285000000002</v>
      </c>
      <c r="F187" s="3">
        <f t="shared" si="12"/>
        <v>2014</v>
      </c>
      <c r="G187" s="3" t="str">
        <f t="shared" si="13"/>
        <v>Jan</v>
      </c>
      <c r="H187" s="3" t="str">
        <f t="shared" si="14"/>
        <v>Q1</v>
      </c>
      <c r="I187" s="3">
        <f t="shared" si="15"/>
        <v>-3.4055907625554381E-3</v>
      </c>
      <c r="J187" s="3">
        <f t="shared" si="16"/>
        <v>2.9447373687598623E-2</v>
      </c>
      <c r="K187" s="3" t="str">
        <f t="shared" si="17"/>
        <v>Normal</v>
      </c>
      <c r="L187" s="4">
        <f>VALUE(A187)</f>
        <v>41663</v>
      </c>
    </row>
    <row r="188" spans="1:12">
      <c r="A188" s="5">
        <v>41666</v>
      </c>
      <c r="B188" s="3">
        <v>386.27999899999998</v>
      </c>
      <c r="C188" s="3">
        <v>66.299362000000002</v>
      </c>
      <c r="D188" s="3">
        <v>943.53997800000002</v>
      </c>
      <c r="E188" s="3">
        <v>54.46143</v>
      </c>
      <c r="F188" s="3">
        <f t="shared" si="12"/>
        <v>2014</v>
      </c>
      <c r="G188" s="3" t="str">
        <f t="shared" si="13"/>
        <v>Jan</v>
      </c>
      <c r="H188" s="3" t="str">
        <f t="shared" si="14"/>
        <v>Q1</v>
      </c>
      <c r="I188" s="3">
        <f t="shared" si="15"/>
        <v>2.109866941363446E-2</v>
      </c>
      <c r="J188" s="3">
        <f t="shared" si="16"/>
        <v>-1.1509830270276106E-2</v>
      </c>
      <c r="K188" s="3" t="str">
        <f t="shared" si="17"/>
        <v>Normal</v>
      </c>
      <c r="L188" s="4">
        <f>VALUE(A188)</f>
        <v>41666</v>
      </c>
    </row>
    <row r="189" spans="1:12">
      <c r="A189" s="5">
        <v>41667</v>
      </c>
      <c r="B189" s="3">
        <v>394.42999300000002</v>
      </c>
      <c r="C189" s="3">
        <v>66.062965000000005</v>
      </c>
      <c r="D189" s="3">
        <v>932.67999299999997</v>
      </c>
      <c r="E189" s="3">
        <v>58.110000999999997</v>
      </c>
      <c r="F189" s="3">
        <f t="shared" si="12"/>
        <v>2014</v>
      </c>
      <c r="G189" s="3" t="str">
        <f t="shared" si="13"/>
        <v>Jan</v>
      </c>
      <c r="H189" s="3" t="str">
        <f t="shared" si="14"/>
        <v>Q1</v>
      </c>
      <c r="I189" s="3">
        <f t="shared" si="15"/>
        <v>-2.5936113332030532E-2</v>
      </c>
      <c r="J189" s="3">
        <f t="shared" si="16"/>
        <v>-7.51598624674258E-3</v>
      </c>
      <c r="K189" s="3" t="str">
        <f t="shared" si="17"/>
        <v>Normal</v>
      </c>
      <c r="L189" s="4">
        <f>VALUE(A189)</f>
        <v>41667</v>
      </c>
    </row>
    <row r="190" spans="1:12">
      <c r="A190" s="5">
        <v>41668</v>
      </c>
      <c r="B190" s="3">
        <v>384.20001200000002</v>
      </c>
      <c r="C190" s="3">
        <v>64.966010999999995</v>
      </c>
      <c r="D190" s="3">
        <v>925.669983</v>
      </c>
      <c r="E190" s="3">
        <v>57.202857999999999</v>
      </c>
      <c r="F190" s="3">
        <f t="shared" si="12"/>
        <v>2014</v>
      </c>
      <c r="G190" s="3" t="str">
        <f t="shared" si="13"/>
        <v>Jan</v>
      </c>
      <c r="H190" s="3" t="str">
        <f t="shared" si="14"/>
        <v>Q1</v>
      </c>
      <c r="I190" s="3">
        <f t="shared" si="15"/>
        <v>4.8958868850842219E-2</v>
      </c>
      <c r="J190" s="3">
        <f t="shared" si="16"/>
        <v>1.6982328787472356E-2</v>
      </c>
      <c r="K190" s="3" t="str">
        <f t="shared" si="17"/>
        <v>Normal</v>
      </c>
      <c r="L190" s="4">
        <f>VALUE(A190)</f>
        <v>41668</v>
      </c>
    </row>
    <row r="191" spans="1:12">
      <c r="A191" s="5">
        <v>41669</v>
      </c>
      <c r="B191" s="3">
        <v>403.01001000000002</v>
      </c>
      <c r="C191" s="3">
        <v>65.788719</v>
      </c>
      <c r="D191" s="3">
        <v>941.39001499999995</v>
      </c>
      <c r="E191" s="3">
        <v>57.810001</v>
      </c>
      <c r="F191" s="3">
        <f t="shared" si="12"/>
        <v>2014</v>
      </c>
      <c r="G191" s="3" t="str">
        <f t="shared" si="13"/>
        <v>Jan</v>
      </c>
      <c r="H191" s="3" t="str">
        <f t="shared" si="14"/>
        <v>Q1</v>
      </c>
      <c r="I191" s="3">
        <f t="shared" si="15"/>
        <v>-0.10997247438097139</v>
      </c>
      <c r="J191" s="3">
        <f t="shared" si="16"/>
        <v>-2.6981792450815182E-3</v>
      </c>
      <c r="K191" s="3" t="str">
        <f t="shared" si="17"/>
        <v>Normal</v>
      </c>
      <c r="L191" s="4">
        <f>VALUE(A191)</f>
        <v>41669</v>
      </c>
    </row>
    <row r="192" spans="1:12">
      <c r="A192" s="5">
        <v>41670</v>
      </c>
      <c r="B192" s="3">
        <v>358.69000199999999</v>
      </c>
      <c r="C192" s="3">
        <v>66.772201999999993</v>
      </c>
      <c r="D192" s="3">
        <v>938.84997599999997</v>
      </c>
      <c r="E192" s="3">
        <v>58.475715999999998</v>
      </c>
      <c r="F192" s="3">
        <f t="shared" si="12"/>
        <v>2014</v>
      </c>
      <c r="G192" s="3" t="str">
        <f t="shared" si="13"/>
        <v>Jan</v>
      </c>
      <c r="H192" s="3" t="str">
        <f t="shared" si="14"/>
        <v>Q1</v>
      </c>
      <c r="I192" s="3">
        <f t="shared" si="15"/>
        <v>-3.4960573001976233E-2</v>
      </c>
      <c r="J192" s="3">
        <f t="shared" si="16"/>
        <v>-7.6049999281248204E-3</v>
      </c>
      <c r="K192" s="3" t="str">
        <f t="shared" si="17"/>
        <v>Normal</v>
      </c>
      <c r="L192" s="4">
        <f>VALUE(A192)</f>
        <v>41670</v>
      </c>
    </row>
    <row r="193" spans="1:12">
      <c r="A193" s="5">
        <v>41673</v>
      </c>
      <c r="B193" s="3">
        <v>346.14999399999999</v>
      </c>
      <c r="C193" s="3">
        <v>63.906875999999997</v>
      </c>
      <c r="D193" s="3">
        <v>931.71002199999998</v>
      </c>
      <c r="E193" s="3">
        <v>57.768569999999997</v>
      </c>
      <c r="F193" s="3">
        <f t="shared" si="12"/>
        <v>2014</v>
      </c>
      <c r="G193" s="3" t="str">
        <f t="shared" si="13"/>
        <v>Feb</v>
      </c>
      <c r="H193" s="3" t="str">
        <f t="shared" si="14"/>
        <v>Q1</v>
      </c>
      <c r="I193" s="3">
        <f t="shared" si="15"/>
        <v>5.2001098691338496E-3</v>
      </c>
      <c r="J193" s="3">
        <f t="shared" si="16"/>
        <v>-5.4416147516764962E-3</v>
      </c>
      <c r="K193" s="3" t="str">
        <f t="shared" si="17"/>
        <v>Normal</v>
      </c>
      <c r="L193" s="4">
        <f>VALUE(A193)</f>
        <v>41673</v>
      </c>
    </row>
    <row r="194" spans="1:12">
      <c r="A194" s="5">
        <v>41674</v>
      </c>
      <c r="B194" s="3">
        <v>347.95001200000002</v>
      </c>
      <c r="C194" s="3">
        <v>64.587768999999994</v>
      </c>
      <c r="D194" s="3">
        <v>926.64001499999995</v>
      </c>
      <c r="E194" s="3">
        <v>57.987144000000001</v>
      </c>
      <c r="F194" s="3">
        <f t="shared" si="12"/>
        <v>2014</v>
      </c>
      <c r="G194" s="3" t="str">
        <f t="shared" si="13"/>
        <v>Feb</v>
      </c>
      <c r="H194" s="3" t="str">
        <f t="shared" si="14"/>
        <v>Q1</v>
      </c>
      <c r="I194" s="3">
        <f t="shared" si="15"/>
        <v>-4.3109640703216873E-3</v>
      </c>
      <c r="J194" s="3">
        <f t="shared" si="16"/>
        <v>-2.3871184755603184E-2</v>
      </c>
      <c r="K194" s="3" t="str">
        <f t="shared" si="17"/>
        <v>Normal</v>
      </c>
      <c r="L194" s="4">
        <f>VALUE(A194)</f>
        <v>41674</v>
      </c>
    </row>
    <row r="195" spans="1:12">
      <c r="A195" s="5">
        <v>41675</v>
      </c>
      <c r="B195" s="3">
        <v>346.45001200000002</v>
      </c>
      <c r="C195" s="3">
        <v>63.519157</v>
      </c>
      <c r="D195" s="3">
        <v>904.52002000000005</v>
      </c>
      <c r="E195" s="3">
        <v>57.774284000000002</v>
      </c>
      <c r="F195" s="3">
        <f t="shared" ref="F195:F258" si="18">YEAR(A195)</f>
        <v>2014</v>
      </c>
      <c r="G195" s="3" t="str">
        <f t="shared" ref="G195:G258" si="19">TEXT(A195,"MMM")</f>
        <v>Feb</v>
      </c>
      <c r="H195" s="3" t="str">
        <f t="shared" ref="H195:H258" si="20">"Q"&amp;ROUNDUP(MONTH(A195)/3,0)</f>
        <v>Q1</v>
      </c>
      <c r="I195" s="3">
        <f t="shared" ref="I195:I258" si="21">(B196-B195)/B195</f>
        <v>2.3495406892928523E-2</v>
      </c>
      <c r="J195" s="3">
        <f t="shared" ref="J195:J258" si="22">(D196-D195)/D195</f>
        <v>-8.3635545181189055E-2</v>
      </c>
      <c r="K195" s="3" t="str">
        <f t="shared" ref="K195:K258" si="23">IF(J195="","",IF(ABS(J195)&gt;0.05,"High Volatility","Normal"))</f>
        <v>High Volatility</v>
      </c>
      <c r="L195" s="4">
        <f>VALUE(A195)</f>
        <v>41675</v>
      </c>
    </row>
    <row r="196" spans="1:12">
      <c r="A196" s="5">
        <v>41676</v>
      </c>
      <c r="B196" s="3">
        <v>354.58999599999999</v>
      </c>
      <c r="C196" s="3">
        <v>63.98254</v>
      </c>
      <c r="D196" s="3">
        <v>828.86999500000002</v>
      </c>
      <c r="E196" s="3">
        <v>58.272857999999999</v>
      </c>
      <c r="F196" s="3">
        <f t="shared" si="18"/>
        <v>2014</v>
      </c>
      <c r="G196" s="3" t="str">
        <f t="shared" si="19"/>
        <v>Feb</v>
      </c>
      <c r="H196" s="3" t="str">
        <f t="shared" si="20"/>
        <v>Q1</v>
      </c>
      <c r="I196" s="3">
        <f t="shared" si="21"/>
        <v>1.8302803444009266E-2</v>
      </c>
      <c r="J196" s="3">
        <f t="shared" si="22"/>
        <v>-0.16072480823726765</v>
      </c>
      <c r="K196" s="3" t="str">
        <f t="shared" si="23"/>
        <v>High Volatility</v>
      </c>
      <c r="L196" s="4">
        <f>VALUE(A196)</f>
        <v>41676</v>
      </c>
    </row>
    <row r="197" spans="1:12">
      <c r="A197" s="5">
        <v>41677</v>
      </c>
      <c r="B197" s="3">
        <v>361.07998700000002</v>
      </c>
      <c r="C197" s="3">
        <v>65.722533999999996</v>
      </c>
      <c r="D197" s="3">
        <v>695.65002400000003</v>
      </c>
      <c r="E197" s="3">
        <v>61.425713000000002</v>
      </c>
      <c r="F197" s="3">
        <f t="shared" si="18"/>
        <v>2014</v>
      </c>
      <c r="G197" s="3" t="str">
        <f t="shared" si="19"/>
        <v>Feb</v>
      </c>
      <c r="H197" s="3" t="str">
        <f t="shared" si="20"/>
        <v>Q1</v>
      </c>
      <c r="I197" s="3">
        <f t="shared" si="21"/>
        <v>-5.8156643281367937E-4</v>
      </c>
      <c r="J197" s="3">
        <f t="shared" si="22"/>
        <v>-0.16246677941608184</v>
      </c>
      <c r="K197" s="3" t="str">
        <f t="shared" si="23"/>
        <v>High Volatility</v>
      </c>
      <c r="L197" s="4">
        <f>VALUE(A197)</f>
        <v>41677</v>
      </c>
    </row>
    <row r="198" spans="1:12">
      <c r="A198" s="5">
        <v>41680</v>
      </c>
      <c r="B198" s="3">
        <v>360.86999500000002</v>
      </c>
      <c r="C198" s="3">
        <v>66.081871000000007</v>
      </c>
      <c r="D198" s="3">
        <v>582.63000499999998</v>
      </c>
      <c r="E198" s="3">
        <v>61.491427999999999</v>
      </c>
      <c r="F198" s="3">
        <f t="shared" si="18"/>
        <v>2014</v>
      </c>
      <c r="G198" s="3" t="str">
        <f t="shared" si="19"/>
        <v>Feb</v>
      </c>
      <c r="H198" s="3" t="str">
        <f t="shared" si="20"/>
        <v>Q1</v>
      </c>
      <c r="I198" s="3">
        <f t="shared" si="21"/>
        <v>2.549433349259144E-3</v>
      </c>
      <c r="J198" s="3">
        <f t="shared" si="22"/>
        <v>-6.2989941618265986E-3</v>
      </c>
      <c r="K198" s="3" t="str">
        <f t="shared" si="23"/>
        <v>Normal</v>
      </c>
      <c r="L198" s="4">
        <f>VALUE(A198)</f>
        <v>41680</v>
      </c>
    </row>
    <row r="199" spans="1:12">
      <c r="A199" s="5">
        <v>41681</v>
      </c>
      <c r="B199" s="3">
        <v>361.790009</v>
      </c>
      <c r="C199" s="3">
        <v>66.630347999999998</v>
      </c>
      <c r="D199" s="3">
        <v>578.96002199999998</v>
      </c>
      <c r="E199" s="3">
        <v>61.998573</v>
      </c>
      <c r="F199" s="3">
        <f t="shared" si="18"/>
        <v>2014</v>
      </c>
      <c r="G199" s="3" t="str">
        <f t="shared" si="19"/>
        <v>Feb</v>
      </c>
      <c r="H199" s="3" t="str">
        <f t="shared" si="20"/>
        <v>Q1</v>
      </c>
      <c r="I199" s="3">
        <f t="shared" si="21"/>
        <v>-3.4661015196801627E-2</v>
      </c>
      <c r="J199" s="3">
        <f t="shared" si="22"/>
        <v>-8.2613678289517545E-2</v>
      </c>
      <c r="K199" s="3" t="str">
        <f t="shared" si="23"/>
        <v>High Volatility</v>
      </c>
      <c r="L199" s="4">
        <f>VALUE(A199)</f>
        <v>41681</v>
      </c>
    </row>
    <row r="200" spans="1:12">
      <c r="A200" s="5">
        <v>41682</v>
      </c>
      <c r="B200" s="3">
        <v>349.25</v>
      </c>
      <c r="C200" s="3">
        <v>66.961319000000003</v>
      </c>
      <c r="D200" s="3">
        <v>531.13000499999998</v>
      </c>
      <c r="E200" s="3">
        <v>61.275714999999998</v>
      </c>
      <c r="F200" s="3">
        <f t="shared" si="18"/>
        <v>2014</v>
      </c>
      <c r="G200" s="3" t="str">
        <f t="shared" si="19"/>
        <v>Feb</v>
      </c>
      <c r="H200" s="3" t="str">
        <f t="shared" si="20"/>
        <v>Q1</v>
      </c>
      <c r="I200" s="3">
        <f t="shared" si="21"/>
        <v>2.2763098067287088E-2</v>
      </c>
      <c r="J200" s="3">
        <f t="shared" si="22"/>
        <v>-0.15003860118955245</v>
      </c>
      <c r="K200" s="3" t="str">
        <f t="shared" si="23"/>
        <v>High Volatility</v>
      </c>
      <c r="L200" s="4">
        <f>VALUE(A200)</f>
        <v>41682</v>
      </c>
    </row>
    <row r="201" spans="1:12">
      <c r="A201" s="5">
        <v>41683</v>
      </c>
      <c r="B201" s="3">
        <v>357.20001200000002</v>
      </c>
      <c r="C201" s="3">
        <v>67.897530000000003</v>
      </c>
      <c r="D201" s="3">
        <v>451.44000199999999</v>
      </c>
      <c r="E201" s="3">
        <v>62.364285000000002</v>
      </c>
      <c r="F201" s="3">
        <f t="shared" si="18"/>
        <v>2014</v>
      </c>
      <c r="G201" s="3" t="str">
        <f t="shared" si="19"/>
        <v>Feb</v>
      </c>
      <c r="H201" s="3" t="str">
        <f t="shared" si="20"/>
        <v>Q1</v>
      </c>
      <c r="I201" s="3">
        <f t="shared" si="21"/>
        <v>4.1991599933090821E-4</v>
      </c>
      <c r="J201" s="3">
        <f t="shared" si="22"/>
        <v>-5.263159865040043E-2</v>
      </c>
      <c r="K201" s="3" t="str">
        <f t="shared" si="23"/>
        <v>High Volatility</v>
      </c>
      <c r="L201" s="4">
        <f>VALUE(A201)</f>
        <v>41683</v>
      </c>
    </row>
    <row r="202" spans="1:12">
      <c r="A202" s="5">
        <v>41684</v>
      </c>
      <c r="B202" s="3">
        <v>357.35000600000001</v>
      </c>
      <c r="C202" s="3">
        <v>68.256850999999997</v>
      </c>
      <c r="D202" s="3">
        <v>427.67999300000002</v>
      </c>
      <c r="E202" s="3">
        <v>62.215713999999998</v>
      </c>
      <c r="F202" s="3">
        <f t="shared" si="18"/>
        <v>2014</v>
      </c>
      <c r="G202" s="3" t="str">
        <f t="shared" si="19"/>
        <v>Feb</v>
      </c>
      <c r="H202" s="3" t="str">
        <f t="shared" si="20"/>
        <v>Q1</v>
      </c>
      <c r="I202" s="3">
        <f t="shared" si="21"/>
        <v>-1.035402808976031E-2</v>
      </c>
      <c r="J202" s="3">
        <f t="shared" si="22"/>
        <v>-0.31268701643473884</v>
      </c>
      <c r="K202" s="3" t="str">
        <f t="shared" si="23"/>
        <v>High Volatility</v>
      </c>
      <c r="L202" s="4">
        <f>VALUE(A202)</f>
        <v>41684</v>
      </c>
    </row>
    <row r="203" spans="1:12">
      <c r="A203" s="5">
        <v>41688</v>
      </c>
      <c r="B203" s="3">
        <v>353.64999399999999</v>
      </c>
      <c r="C203" s="3">
        <v>68.143394000000001</v>
      </c>
      <c r="D203" s="3">
        <v>293.95001200000002</v>
      </c>
      <c r="E203" s="3">
        <v>62.407142999999998</v>
      </c>
      <c r="F203" s="3">
        <f t="shared" si="18"/>
        <v>2014</v>
      </c>
      <c r="G203" s="3" t="str">
        <f t="shared" si="19"/>
        <v>Feb</v>
      </c>
      <c r="H203" s="3" t="str">
        <f t="shared" si="20"/>
        <v>Q1</v>
      </c>
      <c r="I203" s="3">
        <f t="shared" si="21"/>
        <v>-1.7729362664714227E-2</v>
      </c>
      <c r="J203" s="3">
        <f t="shared" si="22"/>
        <v>-0.11029090551627546</v>
      </c>
      <c r="K203" s="3" t="str">
        <f t="shared" si="23"/>
        <v>High Volatility</v>
      </c>
      <c r="L203" s="4">
        <f>VALUE(A203)</f>
        <v>41688</v>
      </c>
    </row>
    <row r="204" spans="1:12">
      <c r="A204" s="5">
        <v>41689</v>
      </c>
      <c r="B204" s="3">
        <v>347.38000499999998</v>
      </c>
      <c r="C204" s="3">
        <v>67.935333</v>
      </c>
      <c r="D204" s="3">
        <v>261.52999899999998</v>
      </c>
      <c r="E204" s="3">
        <v>61.175713000000002</v>
      </c>
      <c r="F204" s="3">
        <f t="shared" si="18"/>
        <v>2014</v>
      </c>
      <c r="G204" s="3" t="str">
        <f t="shared" si="19"/>
        <v>Feb</v>
      </c>
      <c r="H204" s="3" t="str">
        <f t="shared" si="20"/>
        <v>Q1</v>
      </c>
      <c r="I204" s="3">
        <f t="shared" si="21"/>
        <v>6.9663854141518659E-3</v>
      </c>
      <c r="J204" s="3">
        <f t="shared" si="22"/>
        <v>-0.57205674902327353</v>
      </c>
      <c r="K204" s="3" t="str">
        <f t="shared" si="23"/>
        <v>High Volatility</v>
      </c>
      <c r="L204" s="4">
        <f>VALUE(A204)</f>
        <v>41689</v>
      </c>
    </row>
    <row r="205" spans="1:12">
      <c r="A205" s="5">
        <v>41690</v>
      </c>
      <c r="B205" s="3">
        <v>349.79998799999998</v>
      </c>
      <c r="C205" s="3">
        <v>68.332520000000002</v>
      </c>
      <c r="D205" s="3">
        <v>111.91999800000001</v>
      </c>
      <c r="E205" s="3">
        <v>62.135714999999998</v>
      </c>
      <c r="F205" s="3">
        <f t="shared" si="18"/>
        <v>2014</v>
      </c>
      <c r="G205" s="3" t="str">
        <f t="shared" si="19"/>
        <v>Feb</v>
      </c>
      <c r="H205" s="3" t="str">
        <f t="shared" si="20"/>
        <v>Q1</v>
      </c>
      <c r="I205" s="3">
        <f t="shared" si="21"/>
        <v>-8.6906177938461289E-3</v>
      </c>
      <c r="J205" s="3">
        <f t="shared" si="22"/>
        <v>-3.2165833312471433E-3</v>
      </c>
      <c r="K205" s="3" t="str">
        <f t="shared" si="23"/>
        <v>Normal</v>
      </c>
      <c r="L205" s="4">
        <f>VALUE(A205)</f>
        <v>41690</v>
      </c>
    </row>
    <row r="206" spans="1:12">
      <c r="A206" s="5">
        <v>41691</v>
      </c>
      <c r="B206" s="3">
        <v>346.76001000000002</v>
      </c>
      <c r="C206" s="3">
        <v>69.268699999999995</v>
      </c>
      <c r="D206" s="3">
        <v>111.55999799999999</v>
      </c>
      <c r="E206" s="3">
        <v>61.747143000000001</v>
      </c>
      <c r="F206" s="3">
        <f t="shared" si="18"/>
        <v>2014</v>
      </c>
      <c r="G206" s="3" t="str">
        <f t="shared" si="19"/>
        <v>Feb</v>
      </c>
      <c r="H206" s="3" t="str">
        <f t="shared" si="20"/>
        <v>Q1</v>
      </c>
      <c r="I206" s="3">
        <f t="shared" si="21"/>
        <v>1.4476839471771709E-2</v>
      </c>
      <c r="J206" s="3">
        <f t="shared" si="22"/>
        <v>0.5596988447418223</v>
      </c>
      <c r="K206" s="3" t="str">
        <f t="shared" si="23"/>
        <v>High Volatility</v>
      </c>
      <c r="L206" s="4">
        <f>VALUE(A206)</f>
        <v>41691</v>
      </c>
    </row>
    <row r="207" spans="1:12">
      <c r="A207" s="5">
        <v>41694</v>
      </c>
      <c r="B207" s="3">
        <v>351.77999899999998</v>
      </c>
      <c r="C207" s="3">
        <v>70.630447000000004</v>
      </c>
      <c r="D207" s="3">
        <v>174</v>
      </c>
      <c r="E207" s="3">
        <v>63.857143000000001</v>
      </c>
      <c r="F207" s="3">
        <f t="shared" si="18"/>
        <v>2014</v>
      </c>
      <c r="G207" s="3" t="str">
        <f t="shared" si="19"/>
        <v>Feb</v>
      </c>
      <c r="H207" s="3" t="str">
        <f t="shared" si="20"/>
        <v>Q1</v>
      </c>
      <c r="I207" s="3">
        <f t="shared" si="21"/>
        <v>1.8591187726963412E-2</v>
      </c>
      <c r="J207" s="3">
        <f t="shared" si="22"/>
        <v>-0.21965517816091951</v>
      </c>
      <c r="K207" s="3" t="str">
        <f t="shared" si="23"/>
        <v>High Volatility</v>
      </c>
      <c r="L207" s="4">
        <f>VALUE(A207)</f>
        <v>41694</v>
      </c>
    </row>
    <row r="208" spans="1:12">
      <c r="A208" s="5">
        <v>41695</v>
      </c>
      <c r="B208" s="3">
        <v>358.32000699999998</v>
      </c>
      <c r="C208" s="3">
        <v>70.951965000000001</v>
      </c>
      <c r="D208" s="3">
        <v>135.779999</v>
      </c>
      <c r="E208" s="3">
        <v>64.718575000000001</v>
      </c>
      <c r="F208" s="3">
        <f t="shared" si="18"/>
        <v>2014</v>
      </c>
      <c r="G208" s="3" t="str">
        <f t="shared" si="19"/>
        <v>Feb</v>
      </c>
      <c r="H208" s="3" t="str">
        <f t="shared" si="20"/>
        <v>Q1</v>
      </c>
      <c r="I208" s="3">
        <f t="shared" si="21"/>
        <v>4.1303331410127188E-3</v>
      </c>
      <c r="J208" s="3">
        <f t="shared" si="22"/>
        <v>3.3683901853615419</v>
      </c>
      <c r="K208" s="3" t="str">
        <f t="shared" si="23"/>
        <v>High Volatility</v>
      </c>
      <c r="L208" s="4">
        <f>VALUE(A208)</f>
        <v>41695</v>
      </c>
    </row>
    <row r="209" spans="1:12">
      <c r="A209" s="5">
        <v>41696</v>
      </c>
      <c r="B209" s="3">
        <v>359.79998799999998</v>
      </c>
      <c r="C209" s="3">
        <v>73.429558</v>
      </c>
      <c r="D209" s="3">
        <v>593.14001499999995</v>
      </c>
      <c r="E209" s="3">
        <v>64.112853999999999</v>
      </c>
      <c r="F209" s="3">
        <f t="shared" si="18"/>
        <v>2014</v>
      </c>
      <c r="G209" s="3" t="str">
        <f t="shared" si="19"/>
        <v>Feb</v>
      </c>
      <c r="H209" s="3" t="str">
        <f t="shared" si="20"/>
        <v>Q1</v>
      </c>
      <c r="I209" s="3">
        <f t="shared" si="21"/>
        <v>9.1722348806748161E-4</v>
      </c>
      <c r="J209" s="3">
        <f t="shared" si="22"/>
        <v>5.6478654538255797E-3</v>
      </c>
      <c r="K209" s="3" t="str">
        <f t="shared" si="23"/>
        <v>Normal</v>
      </c>
      <c r="L209" s="4">
        <f>VALUE(A209)</f>
        <v>41696</v>
      </c>
    </row>
    <row r="210" spans="1:12">
      <c r="A210" s="5">
        <v>41697</v>
      </c>
      <c r="B210" s="3">
        <v>360.13000499999998</v>
      </c>
      <c r="C210" s="3">
        <v>73.751082999999994</v>
      </c>
      <c r="D210" s="3">
        <v>596.48999000000003</v>
      </c>
      <c r="E210" s="3">
        <v>64.604286000000002</v>
      </c>
      <c r="F210" s="3">
        <f t="shared" si="18"/>
        <v>2014</v>
      </c>
      <c r="G210" s="3" t="str">
        <f t="shared" si="19"/>
        <v>Feb</v>
      </c>
      <c r="H210" s="3" t="str">
        <f t="shared" si="20"/>
        <v>Q1</v>
      </c>
      <c r="I210" s="3">
        <f t="shared" si="21"/>
        <v>5.4702495561291123E-3</v>
      </c>
      <c r="J210" s="3">
        <f t="shared" si="22"/>
        <v>-3.7804470113572207E-2</v>
      </c>
      <c r="K210" s="3" t="str">
        <f t="shared" si="23"/>
        <v>Normal</v>
      </c>
      <c r="L210" s="4">
        <f>VALUE(A210)</f>
        <v>41697</v>
      </c>
    </row>
    <row r="211" spans="1:12">
      <c r="A211" s="5">
        <v>41698</v>
      </c>
      <c r="B211" s="3">
        <v>362.10000600000001</v>
      </c>
      <c r="C211" s="3">
        <v>74.762932000000006</v>
      </c>
      <c r="D211" s="3">
        <v>573.94000200000005</v>
      </c>
      <c r="E211" s="3">
        <v>63.661430000000003</v>
      </c>
      <c r="F211" s="3">
        <f t="shared" si="18"/>
        <v>2014</v>
      </c>
      <c r="G211" s="3" t="str">
        <f t="shared" si="19"/>
        <v>Feb</v>
      </c>
      <c r="H211" s="3" t="str">
        <f t="shared" si="20"/>
        <v>Q1</v>
      </c>
      <c r="I211" s="3">
        <f t="shared" si="21"/>
        <v>-6.4070890957125043E-3</v>
      </c>
      <c r="J211" s="3">
        <f t="shared" si="22"/>
        <v>0.15374427761179105</v>
      </c>
      <c r="K211" s="3" t="str">
        <f t="shared" si="23"/>
        <v>High Volatility</v>
      </c>
      <c r="L211" s="4">
        <f>VALUE(A211)</f>
        <v>41698</v>
      </c>
    </row>
    <row r="212" spans="1:12">
      <c r="A212" s="5">
        <v>41701</v>
      </c>
      <c r="B212" s="3">
        <v>359.77999899999998</v>
      </c>
      <c r="C212" s="3">
        <v>74.498146000000006</v>
      </c>
      <c r="D212" s="3">
        <v>662.17999299999997</v>
      </c>
      <c r="E212" s="3">
        <v>63.655715999999998</v>
      </c>
      <c r="F212" s="3">
        <f t="shared" si="18"/>
        <v>2014</v>
      </c>
      <c r="G212" s="3" t="str">
        <f t="shared" si="19"/>
        <v>Mar</v>
      </c>
      <c r="H212" s="3" t="str">
        <f t="shared" si="20"/>
        <v>Q1</v>
      </c>
      <c r="I212" s="3">
        <f t="shared" si="21"/>
        <v>1.1451428682671206E-2</v>
      </c>
      <c r="J212" s="3">
        <f t="shared" si="22"/>
        <v>-4.9837959994058296E-4</v>
      </c>
      <c r="K212" s="3" t="str">
        <f t="shared" si="23"/>
        <v>Normal</v>
      </c>
      <c r="L212" s="4">
        <f>VALUE(A212)</f>
        <v>41701</v>
      </c>
    </row>
    <row r="213" spans="1:12">
      <c r="A213" s="5">
        <v>41702</v>
      </c>
      <c r="B213" s="3">
        <v>363.89999399999999</v>
      </c>
      <c r="C213" s="3">
        <v>75.160094999999998</v>
      </c>
      <c r="D213" s="3">
        <v>661.84997599999997</v>
      </c>
      <c r="E213" s="3">
        <v>64.997146999999998</v>
      </c>
      <c r="F213" s="3">
        <f t="shared" si="18"/>
        <v>2014</v>
      </c>
      <c r="G213" s="3" t="str">
        <f t="shared" si="19"/>
        <v>Mar</v>
      </c>
      <c r="H213" s="3" t="str">
        <f t="shared" si="20"/>
        <v>Q1</v>
      </c>
      <c r="I213" s="3">
        <f t="shared" si="21"/>
        <v>2.327562830352788E-2</v>
      </c>
      <c r="J213" s="3">
        <f t="shared" si="22"/>
        <v>-5.3637351797682694E-3</v>
      </c>
      <c r="K213" s="3" t="str">
        <f t="shared" si="23"/>
        <v>Normal</v>
      </c>
      <c r="L213" s="4">
        <f>VALUE(A213)</f>
        <v>41702</v>
      </c>
    </row>
    <row r="214" spans="1:12">
      <c r="A214" s="5">
        <v>41703</v>
      </c>
      <c r="B214" s="3">
        <v>372.36999500000002</v>
      </c>
      <c r="C214" s="3">
        <v>74.810203999999999</v>
      </c>
      <c r="D214" s="3">
        <v>658.29998799999998</v>
      </c>
      <c r="E214" s="3">
        <v>64.785713000000001</v>
      </c>
      <c r="F214" s="3">
        <f t="shared" si="18"/>
        <v>2014</v>
      </c>
      <c r="G214" s="3" t="str">
        <f t="shared" si="19"/>
        <v>Mar</v>
      </c>
      <c r="H214" s="3" t="str">
        <f t="shared" si="20"/>
        <v>Q1</v>
      </c>
      <c r="I214" s="3">
        <f t="shared" si="21"/>
        <v>-5.6393104390702119E-4</v>
      </c>
      <c r="J214" s="3">
        <f t="shared" si="22"/>
        <v>-1.5251371993037343E-2</v>
      </c>
      <c r="K214" s="3" t="str">
        <f t="shared" si="23"/>
        <v>Normal</v>
      </c>
      <c r="L214" s="4">
        <f>VALUE(A214)</f>
        <v>41703</v>
      </c>
    </row>
    <row r="215" spans="1:12">
      <c r="A215" s="5">
        <v>41704</v>
      </c>
      <c r="B215" s="3">
        <v>372.16000400000001</v>
      </c>
      <c r="C215" s="3">
        <v>74.885857000000001</v>
      </c>
      <c r="D215" s="3">
        <v>648.26000999999997</v>
      </c>
      <c r="E215" s="3">
        <v>64.358574000000004</v>
      </c>
      <c r="F215" s="3">
        <f t="shared" si="18"/>
        <v>2014</v>
      </c>
      <c r="G215" s="3" t="str">
        <f t="shared" si="19"/>
        <v>Mar</v>
      </c>
      <c r="H215" s="3" t="str">
        <f t="shared" si="20"/>
        <v>Q1</v>
      </c>
      <c r="I215" s="3">
        <f t="shared" si="21"/>
        <v>-2.6871775291577971E-4</v>
      </c>
      <c r="J215" s="3">
        <f t="shared" si="22"/>
        <v>-4.8637937731189081E-2</v>
      </c>
      <c r="K215" s="3" t="str">
        <f t="shared" si="23"/>
        <v>Normal</v>
      </c>
      <c r="L215" s="4">
        <f>VALUE(A215)</f>
        <v>41704</v>
      </c>
    </row>
    <row r="216" spans="1:12">
      <c r="A216" s="5">
        <v>41705</v>
      </c>
      <c r="B216" s="3">
        <v>372.05999800000001</v>
      </c>
      <c r="C216" s="3">
        <v>75.027709999999999</v>
      </c>
      <c r="D216" s="3">
        <v>616.72997999999995</v>
      </c>
      <c r="E216" s="3">
        <v>64.052856000000006</v>
      </c>
      <c r="F216" s="3">
        <f t="shared" si="18"/>
        <v>2014</v>
      </c>
      <c r="G216" s="3" t="str">
        <f t="shared" si="19"/>
        <v>Mar</v>
      </c>
      <c r="H216" s="3" t="str">
        <f t="shared" si="20"/>
        <v>Q1</v>
      </c>
      <c r="I216" s="3">
        <f t="shared" si="21"/>
        <v>-4.1122372956633518E-3</v>
      </c>
      <c r="J216" s="3">
        <f t="shared" si="22"/>
        <v>-6.0966859434982692E-3</v>
      </c>
      <c r="K216" s="3" t="str">
        <f t="shared" si="23"/>
        <v>Normal</v>
      </c>
      <c r="L216" s="4">
        <f>VALUE(A216)</f>
        <v>41705</v>
      </c>
    </row>
    <row r="217" spans="1:12">
      <c r="A217" s="5">
        <v>41708</v>
      </c>
      <c r="B217" s="3">
        <v>370.52999899999998</v>
      </c>
      <c r="C217" s="3">
        <v>75.235755999999995</v>
      </c>
      <c r="D217" s="3">
        <v>612.96997099999999</v>
      </c>
      <c r="E217" s="3">
        <v>62.849997999999999</v>
      </c>
      <c r="F217" s="3">
        <f t="shared" si="18"/>
        <v>2014</v>
      </c>
      <c r="G217" s="3" t="str">
        <f t="shared" si="19"/>
        <v>Mar</v>
      </c>
      <c r="H217" s="3" t="str">
        <f t="shared" si="20"/>
        <v>Q1</v>
      </c>
      <c r="I217" s="3">
        <f t="shared" si="21"/>
        <v>-4.6149893520497373E-3</v>
      </c>
      <c r="J217" s="3">
        <f t="shared" si="22"/>
        <v>-6.9823469378403492E-3</v>
      </c>
      <c r="K217" s="3" t="str">
        <f t="shared" si="23"/>
        <v>Normal</v>
      </c>
      <c r="L217" s="4">
        <f>VALUE(A217)</f>
        <v>41708</v>
      </c>
    </row>
    <row r="218" spans="1:12">
      <c r="A218" s="5">
        <v>41709</v>
      </c>
      <c r="B218" s="3">
        <v>368.82000699999998</v>
      </c>
      <c r="C218" s="3">
        <v>74.753471000000005</v>
      </c>
      <c r="D218" s="3">
        <v>608.69000200000005</v>
      </c>
      <c r="E218" s="3">
        <v>62.497143000000001</v>
      </c>
      <c r="F218" s="3">
        <f t="shared" si="18"/>
        <v>2014</v>
      </c>
      <c r="G218" s="3" t="str">
        <f t="shared" si="19"/>
        <v>Mar</v>
      </c>
      <c r="H218" s="3" t="str">
        <f t="shared" si="20"/>
        <v>Q1</v>
      </c>
      <c r="I218" s="3">
        <f t="shared" si="21"/>
        <v>4.9346780691320521E-3</v>
      </c>
      <c r="J218" s="3">
        <f t="shared" si="22"/>
        <v>1.7644434711776187E-2</v>
      </c>
      <c r="K218" s="3" t="str">
        <f t="shared" si="23"/>
        <v>Normal</v>
      </c>
      <c r="L218" s="4">
        <f>VALUE(A218)</f>
        <v>41709</v>
      </c>
    </row>
    <row r="219" spans="1:12">
      <c r="A219" s="5">
        <v>41710</v>
      </c>
      <c r="B219" s="3">
        <v>370.64001500000001</v>
      </c>
      <c r="C219" s="3">
        <v>75.815948000000006</v>
      </c>
      <c r="D219" s="3">
        <v>619.42999299999997</v>
      </c>
      <c r="E219" s="3">
        <v>62.368572</v>
      </c>
      <c r="F219" s="3">
        <f t="shared" si="18"/>
        <v>2014</v>
      </c>
      <c r="G219" s="3" t="str">
        <f t="shared" si="19"/>
        <v>Mar</v>
      </c>
      <c r="H219" s="3" t="str">
        <f t="shared" si="20"/>
        <v>Q1</v>
      </c>
      <c r="I219" s="3">
        <f t="shared" si="21"/>
        <v>2.3472775868520757E-3</v>
      </c>
      <c r="J219" s="3">
        <f t="shared" si="22"/>
        <v>9.0566893166247626E-3</v>
      </c>
      <c r="K219" s="3" t="str">
        <f t="shared" si="23"/>
        <v>Normal</v>
      </c>
      <c r="L219" s="4">
        <f>VALUE(A219)</f>
        <v>41710</v>
      </c>
    </row>
    <row r="220" spans="1:12">
      <c r="A220" s="5">
        <v>41711</v>
      </c>
      <c r="B220" s="3">
        <v>371.51001000000002</v>
      </c>
      <c r="C220" s="3">
        <v>74.857810999999998</v>
      </c>
      <c r="D220" s="3">
        <v>625.03997800000002</v>
      </c>
      <c r="E220" s="3">
        <v>61.437140999999997</v>
      </c>
      <c r="F220" s="3">
        <f t="shared" si="18"/>
        <v>2014</v>
      </c>
      <c r="G220" s="3" t="str">
        <f t="shared" si="19"/>
        <v>Mar</v>
      </c>
      <c r="H220" s="3" t="str">
        <f t="shared" si="20"/>
        <v>Q1</v>
      </c>
      <c r="I220" s="3">
        <f t="shared" si="21"/>
        <v>6.002476218608362E-3</v>
      </c>
      <c r="J220" s="3">
        <f t="shared" si="22"/>
        <v>-1.761479167337358E-2</v>
      </c>
      <c r="K220" s="3" t="str">
        <f t="shared" si="23"/>
        <v>Normal</v>
      </c>
      <c r="L220" s="4">
        <f>VALUE(A220)</f>
        <v>41711</v>
      </c>
    </row>
    <row r="221" spans="1:12">
      <c r="A221" s="5">
        <v>41712</v>
      </c>
      <c r="B221" s="3">
        <v>373.73998999999998</v>
      </c>
      <c r="C221" s="3">
        <v>75.474449000000007</v>
      </c>
      <c r="D221" s="3">
        <v>614.03002900000001</v>
      </c>
      <c r="E221" s="3">
        <v>60.64143</v>
      </c>
      <c r="F221" s="3">
        <f t="shared" si="18"/>
        <v>2014</v>
      </c>
      <c r="G221" s="3" t="str">
        <f t="shared" si="19"/>
        <v>Mar</v>
      </c>
      <c r="H221" s="3" t="str">
        <f t="shared" si="20"/>
        <v>Q1</v>
      </c>
      <c r="I221" s="3">
        <f t="shared" si="21"/>
        <v>3.4784048664420961E-3</v>
      </c>
      <c r="J221" s="3">
        <f t="shared" si="22"/>
        <v>-1.2458713155216111E-2</v>
      </c>
      <c r="K221" s="3" t="str">
        <f t="shared" si="23"/>
        <v>Normal</v>
      </c>
      <c r="L221" s="4">
        <f>VALUE(A221)</f>
        <v>41712</v>
      </c>
    </row>
    <row r="222" spans="1:12">
      <c r="A222" s="5">
        <v>41715</v>
      </c>
      <c r="B222" s="3">
        <v>375.040009</v>
      </c>
      <c r="C222" s="3">
        <v>75.910820000000001</v>
      </c>
      <c r="D222" s="3">
        <v>606.38000499999998</v>
      </c>
      <c r="E222" s="3">
        <v>60.388573000000001</v>
      </c>
      <c r="F222" s="3">
        <f t="shared" si="18"/>
        <v>2014</v>
      </c>
      <c r="G222" s="3" t="str">
        <f t="shared" si="19"/>
        <v>Mar</v>
      </c>
      <c r="H222" s="3" t="str">
        <f t="shared" si="20"/>
        <v>Q1</v>
      </c>
      <c r="I222" s="3">
        <f t="shared" si="21"/>
        <v>9.9455522357349661E-3</v>
      </c>
      <c r="J222" s="3">
        <f t="shared" si="22"/>
        <v>-1.2286044952949949E-2</v>
      </c>
      <c r="K222" s="3" t="str">
        <f t="shared" si="23"/>
        <v>Normal</v>
      </c>
      <c r="L222" s="4">
        <f>VALUE(A222)</f>
        <v>41715</v>
      </c>
    </row>
    <row r="223" spans="1:12">
      <c r="A223" s="5">
        <v>41716</v>
      </c>
      <c r="B223" s="3">
        <v>378.76998900000001</v>
      </c>
      <c r="C223" s="3">
        <v>75.872855999999999</v>
      </c>
      <c r="D223" s="3">
        <v>598.92999299999997</v>
      </c>
      <c r="E223" s="3">
        <v>60.035713000000001</v>
      </c>
      <c r="F223" s="3">
        <f t="shared" si="18"/>
        <v>2014</v>
      </c>
      <c r="G223" s="3" t="str">
        <f t="shared" si="19"/>
        <v>Mar</v>
      </c>
      <c r="H223" s="3" t="str">
        <f t="shared" si="20"/>
        <v>Q1</v>
      </c>
      <c r="I223" s="3">
        <f t="shared" si="21"/>
        <v>-1.4626232702929426E-2</v>
      </c>
      <c r="J223" s="3">
        <f t="shared" si="22"/>
        <v>-6.6284391271084452E-3</v>
      </c>
      <c r="K223" s="3" t="str">
        <f t="shared" si="23"/>
        <v>Normal</v>
      </c>
      <c r="L223" s="4">
        <f>VALUE(A223)</f>
        <v>41716</v>
      </c>
    </row>
    <row r="224" spans="1:12">
      <c r="A224" s="5">
        <v>41717</v>
      </c>
      <c r="B224" s="3">
        <v>373.23001099999999</v>
      </c>
      <c r="C224" s="3">
        <v>74.250670999999997</v>
      </c>
      <c r="D224" s="3">
        <v>594.96002199999998</v>
      </c>
      <c r="E224" s="3">
        <v>60.012855999999999</v>
      </c>
      <c r="F224" s="3">
        <f t="shared" si="18"/>
        <v>2014</v>
      </c>
      <c r="G224" s="3" t="str">
        <f t="shared" si="19"/>
        <v>Mar</v>
      </c>
      <c r="H224" s="3" t="str">
        <f t="shared" si="20"/>
        <v>Q1</v>
      </c>
      <c r="I224" s="3">
        <f t="shared" si="21"/>
        <v>-1.1413899939573631E-2</v>
      </c>
      <c r="J224" s="3">
        <f t="shared" si="22"/>
        <v>-4.8692401050099372E-2</v>
      </c>
      <c r="K224" s="3" t="str">
        <f t="shared" si="23"/>
        <v>Normal</v>
      </c>
      <c r="L224" s="4">
        <f>VALUE(A224)</f>
        <v>41717</v>
      </c>
    </row>
    <row r="225" spans="1:12">
      <c r="A225" s="5">
        <v>41718</v>
      </c>
      <c r="B225" s="3">
        <v>368.97000100000002</v>
      </c>
      <c r="C225" s="3">
        <v>74.791411999999994</v>
      </c>
      <c r="D225" s="3">
        <v>565.98999000000003</v>
      </c>
      <c r="E225" s="3">
        <v>60.610000999999997</v>
      </c>
      <c r="F225" s="3">
        <f t="shared" si="18"/>
        <v>2014</v>
      </c>
      <c r="G225" s="3" t="str">
        <f t="shared" si="19"/>
        <v>Mar</v>
      </c>
      <c r="H225" s="3" t="str">
        <f t="shared" si="20"/>
        <v>Q1</v>
      </c>
      <c r="I225" s="3">
        <f t="shared" si="21"/>
        <v>-2.26305823708416E-2</v>
      </c>
      <c r="J225" s="3">
        <f t="shared" si="22"/>
        <v>-2.895813404756516E-2</v>
      </c>
      <c r="K225" s="3" t="str">
        <f t="shared" si="23"/>
        <v>Normal</v>
      </c>
      <c r="L225" s="4">
        <f>VALUE(A225)</f>
        <v>41718</v>
      </c>
    </row>
    <row r="226" spans="1:12">
      <c r="A226" s="5">
        <v>41719</v>
      </c>
      <c r="B226" s="3">
        <v>360.61999500000002</v>
      </c>
      <c r="C226" s="3">
        <v>73.548691000000005</v>
      </c>
      <c r="D226" s="3">
        <v>549.59997599999997</v>
      </c>
      <c r="E226" s="3">
        <v>57.998573</v>
      </c>
      <c r="F226" s="3">
        <f t="shared" si="18"/>
        <v>2014</v>
      </c>
      <c r="G226" s="3" t="str">
        <f t="shared" si="19"/>
        <v>Mar</v>
      </c>
      <c r="H226" s="3" t="str">
        <f t="shared" si="20"/>
        <v>Q1</v>
      </c>
      <c r="I226" s="3">
        <f t="shared" si="21"/>
        <v>-2.4319197830392096E-2</v>
      </c>
      <c r="J226" s="3">
        <f t="shared" si="22"/>
        <v>3.2678352955386562E-2</v>
      </c>
      <c r="K226" s="3" t="str">
        <f t="shared" si="23"/>
        <v>Normal</v>
      </c>
      <c r="L226" s="4">
        <f>VALUE(A226)</f>
        <v>41719</v>
      </c>
    </row>
    <row r="227" spans="1:12">
      <c r="A227" s="5">
        <v>41722</v>
      </c>
      <c r="B227" s="3">
        <v>351.85000600000001</v>
      </c>
      <c r="C227" s="3">
        <v>72.894119000000003</v>
      </c>
      <c r="D227" s="3">
        <v>567.55999799999995</v>
      </c>
      <c r="E227" s="3">
        <v>54.128571000000001</v>
      </c>
      <c r="F227" s="3">
        <f t="shared" si="18"/>
        <v>2014</v>
      </c>
      <c r="G227" s="3" t="str">
        <f t="shared" si="19"/>
        <v>Mar</v>
      </c>
      <c r="H227" s="3" t="str">
        <f t="shared" si="20"/>
        <v>Q1</v>
      </c>
      <c r="I227" s="3">
        <f t="shared" si="21"/>
        <v>8.1284210636051388E-3</v>
      </c>
      <c r="J227" s="3">
        <f t="shared" si="22"/>
        <v>-8.2281750237091274E-3</v>
      </c>
      <c r="K227" s="3" t="str">
        <f t="shared" si="23"/>
        <v>Normal</v>
      </c>
      <c r="L227" s="4">
        <f>VALUE(A227)</f>
        <v>41722</v>
      </c>
    </row>
    <row r="228" spans="1:12">
      <c r="A228" s="5">
        <v>41723</v>
      </c>
      <c r="B228" s="3">
        <v>354.709991</v>
      </c>
      <c r="C228" s="3">
        <v>72.704384000000005</v>
      </c>
      <c r="D228" s="3">
        <v>562.89001499999995</v>
      </c>
      <c r="E228" s="3">
        <v>52.977142000000001</v>
      </c>
      <c r="F228" s="3">
        <f t="shared" si="18"/>
        <v>2014</v>
      </c>
      <c r="G228" s="3" t="str">
        <f t="shared" si="19"/>
        <v>Mar</v>
      </c>
      <c r="H228" s="3" t="str">
        <f t="shared" si="20"/>
        <v>Q1</v>
      </c>
      <c r="I228" s="3">
        <f t="shared" si="21"/>
        <v>-3.1856974110436004E-2</v>
      </c>
      <c r="J228" s="3">
        <f t="shared" si="22"/>
        <v>-7.8168556605135971E-4</v>
      </c>
      <c r="K228" s="3" t="str">
        <f t="shared" si="23"/>
        <v>Normal</v>
      </c>
      <c r="L228" s="4">
        <f>VALUE(A228)</f>
        <v>41723</v>
      </c>
    </row>
    <row r="229" spans="1:12">
      <c r="A229" s="5">
        <v>41724</v>
      </c>
      <c r="B229" s="3">
        <v>343.41000400000001</v>
      </c>
      <c r="C229" s="3">
        <v>71.660872999999995</v>
      </c>
      <c r="D229" s="3">
        <v>562.45001200000002</v>
      </c>
      <c r="E229" s="3">
        <v>53.182858000000003</v>
      </c>
      <c r="F229" s="3">
        <f t="shared" si="18"/>
        <v>2014</v>
      </c>
      <c r="G229" s="3" t="str">
        <f t="shared" si="19"/>
        <v>Mar</v>
      </c>
      <c r="H229" s="3" t="str">
        <f t="shared" si="20"/>
        <v>Q1</v>
      </c>
      <c r="I229" s="3">
        <f t="shared" si="21"/>
        <v>-1.4385145867794782E-2</v>
      </c>
      <c r="J229" s="3">
        <f t="shared" si="22"/>
        <v>-0.18134944941560424</v>
      </c>
      <c r="K229" s="3" t="str">
        <f t="shared" si="23"/>
        <v>High Volatility</v>
      </c>
      <c r="L229" s="4">
        <f>VALUE(A229)</f>
        <v>41724</v>
      </c>
    </row>
    <row r="230" spans="1:12">
      <c r="A230" s="5">
        <v>41725</v>
      </c>
      <c r="B230" s="3">
        <v>338.47000100000002</v>
      </c>
      <c r="C230" s="3">
        <v>71.395240999999999</v>
      </c>
      <c r="D230" s="3">
        <v>460.45001200000002</v>
      </c>
      <c r="E230" s="3">
        <v>52.025714999999998</v>
      </c>
      <c r="F230" s="3">
        <f t="shared" si="18"/>
        <v>2014</v>
      </c>
      <c r="G230" s="3" t="str">
        <f t="shared" si="19"/>
        <v>Mar</v>
      </c>
      <c r="H230" s="3" t="str">
        <f t="shared" si="20"/>
        <v>Q1</v>
      </c>
      <c r="I230" s="3">
        <f t="shared" si="21"/>
        <v>-5.3178124935221959E-4</v>
      </c>
      <c r="J230" s="3">
        <f t="shared" si="22"/>
        <v>4.8126772553976994E-2</v>
      </c>
      <c r="K230" s="3" t="str">
        <f t="shared" si="23"/>
        <v>Normal</v>
      </c>
      <c r="L230" s="4">
        <f>VALUE(A230)</f>
        <v>41725</v>
      </c>
    </row>
    <row r="231" spans="1:12">
      <c r="A231" s="5">
        <v>41726</v>
      </c>
      <c r="B231" s="3">
        <v>338.290009</v>
      </c>
      <c r="C231" s="3">
        <v>72.315467999999996</v>
      </c>
      <c r="D231" s="3">
        <v>482.60998499999999</v>
      </c>
      <c r="E231" s="3">
        <v>51.267142999999997</v>
      </c>
      <c r="F231" s="3">
        <f t="shared" si="18"/>
        <v>2014</v>
      </c>
      <c r="G231" s="3" t="str">
        <f t="shared" si="19"/>
        <v>Mar</v>
      </c>
      <c r="H231" s="3" t="str">
        <f t="shared" si="20"/>
        <v>Q1</v>
      </c>
      <c r="I231" s="3">
        <f t="shared" si="21"/>
        <v>-5.675645005525364E-3</v>
      </c>
      <c r="J231" s="3">
        <f t="shared" si="22"/>
        <v>-3.9700738889602502E-2</v>
      </c>
      <c r="K231" s="3" t="str">
        <f t="shared" si="23"/>
        <v>Normal</v>
      </c>
      <c r="L231" s="4">
        <f>VALUE(A231)</f>
        <v>41726</v>
      </c>
    </row>
    <row r="232" spans="1:12">
      <c r="A232" s="5">
        <v>41729</v>
      </c>
      <c r="B232" s="3">
        <v>336.36999500000002</v>
      </c>
      <c r="C232" s="3">
        <v>73.017441000000005</v>
      </c>
      <c r="D232" s="3">
        <v>463.45001200000002</v>
      </c>
      <c r="E232" s="3">
        <v>50.290000999999997</v>
      </c>
      <c r="F232" s="3">
        <f t="shared" si="18"/>
        <v>2014</v>
      </c>
      <c r="G232" s="3" t="str">
        <f t="shared" si="19"/>
        <v>Mar</v>
      </c>
      <c r="H232" s="3" t="str">
        <f t="shared" si="20"/>
        <v>Q1</v>
      </c>
      <c r="I232" s="3">
        <f t="shared" si="21"/>
        <v>1.9680694171309663E-2</v>
      </c>
      <c r="J232" s="3">
        <f t="shared" si="22"/>
        <v>-8.4324125554235602E-2</v>
      </c>
      <c r="K232" s="3" t="str">
        <f t="shared" si="23"/>
        <v>High Volatility</v>
      </c>
      <c r="L232" s="4">
        <f>VALUE(A232)</f>
        <v>41729</v>
      </c>
    </row>
    <row r="233" spans="1:12">
      <c r="A233" s="5">
        <v>41730</v>
      </c>
      <c r="B233" s="3">
        <v>342.98998999999998</v>
      </c>
      <c r="C233" s="3">
        <v>74.582718</v>
      </c>
      <c r="D233" s="3">
        <v>424.36999500000002</v>
      </c>
      <c r="E233" s="3">
        <v>52.098571999999997</v>
      </c>
      <c r="F233" s="3">
        <f t="shared" si="18"/>
        <v>2014</v>
      </c>
      <c r="G233" s="3" t="str">
        <f t="shared" si="19"/>
        <v>Apr</v>
      </c>
      <c r="H233" s="3" t="str">
        <f t="shared" si="20"/>
        <v>Q2</v>
      </c>
      <c r="I233" s="3">
        <f t="shared" si="21"/>
        <v>-3.003000175019613E-3</v>
      </c>
      <c r="J233" s="3">
        <f t="shared" si="22"/>
        <v>2.8135832270610908E-2</v>
      </c>
      <c r="K233" s="3" t="str">
        <f t="shared" si="23"/>
        <v>Normal</v>
      </c>
      <c r="L233" s="4">
        <f>VALUE(A233)</f>
        <v>41730</v>
      </c>
    </row>
    <row r="234" spans="1:12">
      <c r="A234" s="5">
        <v>41731</v>
      </c>
      <c r="B234" s="3">
        <v>341.959991</v>
      </c>
      <c r="C234" s="3">
        <v>74.184287999999995</v>
      </c>
      <c r="D234" s="3">
        <v>436.30999800000001</v>
      </c>
      <c r="E234" s="3">
        <v>51.84</v>
      </c>
      <c r="F234" s="3">
        <f t="shared" si="18"/>
        <v>2014</v>
      </c>
      <c r="G234" s="3" t="str">
        <f t="shared" si="19"/>
        <v>Apr</v>
      </c>
      <c r="H234" s="3" t="str">
        <f t="shared" si="20"/>
        <v>Q2</v>
      </c>
      <c r="I234" s="3">
        <f t="shared" si="21"/>
        <v>-2.4388806350155699E-2</v>
      </c>
      <c r="J234" s="3">
        <f t="shared" si="22"/>
        <v>1.8450154791089586E-2</v>
      </c>
      <c r="K234" s="3" t="str">
        <f t="shared" si="23"/>
        <v>Normal</v>
      </c>
      <c r="L234" s="4">
        <f>VALUE(A234)</f>
        <v>41731</v>
      </c>
    </row>
    <row r="235" spans="1:12">
      <c r="A235" s="5">
        <v>41732</v>
      </c>
      <c r="B235" s="3">
        <v>333.61999500000002</v>
      </c>
      <c r="C235" s="3">
        <v>73.634079</v>
      </c>
      <c r="D235" s="3">
        <v>444.35998499999999</v>
      </c>
      <c r="E235" s="3">
        <v>50.669998</v>
      </c>
      <c r="F235" s="3">
        <f t="shared" si="18"/>
        <v>2014</v>
      </c>
      <c r="G235" s="3" t="str">
        <f t="shared" si="19"/>
        <v>Apr</v>
      </c>
      <c r="H235" s="3" t="str">
        <f t="shared" si="20"/>
        <v>Q2</v>
      </c>
      <c r="I235" s="3">
        <f t="shared" si="21"/>
        <v>-3.1832609433376485E-2</v>
      </c>
      <c r="J235" s="3">
        <f t="shared" si="22"/>
        <v>2.7612792362480588E-2</v>
      </c>
      <c r="K235" s="3" t="str">
        <f t="shared" si="23"/>
        <v>Normal</v>
      </c>
      <c r="L235" s="4">
        <f>VALUE(A235)</f>
        <v>41732</v>
      </c>
    </row>
    <row r="236" spans="1:12">
      <c r="A236" s="5">
        <v>41733</v>
      </c>
      <c r="B236" s="3">
        <v>323</v>
      </c>
      <c r="C236" s="3">
        <v>71.556518999999994</v>
      </c>
      <c r="D236" s="3">
        <v>456.63000499999998</v>
      </c>
      <c r="E236" s="3">
        <v>48.187140999999997</v>
      </c>
      <c r="F236" s="3">
        <f t="shared" si="18"/>
        <v>2014</v>
      </c>
      <c r="G236" s="3" t="str">
        <f t="shared" si="19"/>
        <v>Apr</v>
      </c>
      <c r="H236" s="3" t="str">
        <f t="shared" si="20"/>
        <v>Q2</v>
      </c>
      <c r="I236" s="3">
        <f t="shared" si="21"/>
        <v>-1.6222879256965875E-2</v>
      </c>
      <c r="J236" s="3">
        <f t="shared" si="22"/>
        <v>2.1746256030634747E-2</v>
      </c>
      <c r="K236" s="3" t="str">
        <f t="shared" si="23"/>
        <v>Normal</v>
      </c>
      <c r="L236" s="4">
        <f>VALUE(A236)</f>
        <v>41733</v>
      </c>
    </row>
    <row r="237" spans="1:12">
      <c r="A237" s="5">
        <v>41736</v>
      </c>
      <c r="B237" s="3">
        <v>317.76001000000002</v>
      </c>
      <c r="C237" s="3">
        <v>69.896384999999995</v>
      </c>
      <c r="D237" s="3">
        <v>466.55999800000001</v>
      </c>
      <c r="E237" s="3">
        <v>48.285713000000001</v>
      </c>
      <c r="F237" s="3">
        <f t="shared" si="18"/>
        <v>2014</v>
      </c>
      <c r="G237" s="3" t="str">
        <f t="shared" si="19"/>
        <v>Apr</v>
      </c>
      <c r="H237" s="3" t="str">
        <f t="shared" si="20"/>
        <v>Q2</v>
      </c>
      <c r="I237" s="3">
        <f t="shared" si="21"/>
        <v>2.9298831530122221E-2</v>
      </c>
      <c r="J237" s="3">
        <f t="shared" si="22"/>
        <v>-1.9761664179362464E-2</v>
      </c>
      <c r="K237" s="3" t="str">
        <f t="shared" si="23"/>
        <v>Normal</v>
      </c>
      <c r="L237" s="4">
        <f>VALUE(A237)</f>
        <v>41736</v>
      </c>
    </row>
    <row r="238" spans="1:12">
      <c r="A238" s="5">
        <v>41737</v>
      </c>
      <c r="B238" s="3">
        <v>327.07000699999998</v>
      </c>
      <c r="C238" s="3">
        <v>71.860091999999995</v>
      </c>
      <c r="D238" s="3">
        <v>457.33999599999999</v>
      </c>
      <c r="E238" s="3">
        <v>49.841427000000003</v>
      </c>
      <c r="F238" s="3">
        <f t="shared" si="18"/>
        <v>2014</v>
      </c>
      <c r="G238" s="3" t="str">
        <f t="shared" si="19"/>
        <v>Apr</v>
      </c>
      <c r="H238" s="3" t="str">
        <f t="shared" si="20"/>
        <v>Q2</v>
      </c>
      <c r="I238" s="3">
        <f t="shared" si="21"/>
        <v>1.4492282687357609E-2</v>
      </c>
      <c r="J238" s="3">
        <f t="shared" si="22"/>
        <v>-0.15898454461874795</v>
      </c>
      <c r="K238" s="3" t="str">
        <f t="shared" si="23"/>
        <v>High Volatility</v>
      </c>
      <c r="L238" s="4">
        <f>VALUE(A238)</f>
        <v>41737</v>
      </c>
    </row>
    <row r="239" spans="1:12">
      <c r="A239" s="5">
        <v>41738</v>
      </c>
      <c r="B239" s="3">
        <v>331.80999800000001</v>
      </c>
      <c r="C239" s="3">
        <v>72.675940999999995</v>
      </c>
      <c r="D239" s="3">
        <v>384.63000499999998</v>
      </c>
      <c r="E239" s="3">
        <v>50.432858000000003</v>
      </c>
      <c r="F239" s="3">
        <f t="shared" si="18"/>
        <v>2014</v>
      </c>
      <c r="G239" s="3" t="str">
        <f t="shared" si="19"/>
        <v>Apr</v>
      </c>
      <c r="H239" s="3" t="str">
        <f t="shared" si="20"/>
        <v>Q2</v>
      </c>
      <c r="I239" s="3">
        <f t="shared" si="21"/>
        <v>-4.4302501698577544E-2</v>
      </c>
      <c r="J239" s="3">
        <f t="shared" si="22"/>
        <v>0.13132103409353107</v>
      </c>
      <c r="K239" s="3" t="str">
        <f t="shared" si="23"/>
        <v>High Volatility</v>
      </c>
      <c r="L239" s="4">
        <f>VALUE(A239)</f>
        <v>41738</v>
      </c>
    </row>
    <row r="240" spans="1:12">
      <c r="A240" s="5">
        <v>41739</v>
      </c>
      <c r="B240" s="3">
        <v>317.10998499999999</v>
      </c>
      <c r="C240" s="3">
        <v>70.475059999999999</v>
      </c>
      <c r="D240" s="3">
        <v>435.14001500000001</v>
      </c>
      <c r="E240" s="3">
        <v>47.818573000000001</v>
      </c>
      <c r="F240" s="3">
        <f t="shared" si="18"/>
        <v>2014</v>
      </c>
      <c r="G240" s="3" t="str">
        <f t="shared" si="19"/>
        <v>Apr</v>
      </c>
      <c r="H240" s="3" t="str">
        <f t="shared" si="20"/>
        <v>Q2</v>
      </c>
      <c r="I240" s="3">
        <f t="shared" si="21"/>
        <v>-1.6965640485902721E-2</v>
      </c>
      <c r="J240" s="3">
        <f t="shared" si="22"/>
        <v>5.7682100323501323E-3</v>
      </c>
      <c r="K240" s="3" t="str">
        <f t="shared" si="23"/>
        <v>Normal</v>
      </c>
      <c r="L240" s="4">
        <f>VALUE(A240)</f>
        <v>41739</v>
      </c>
    </row>
    <row r="241" spans="1:12">
      <c r="A241" s="5">
        <v>41740</v>
      </c>
      <c r="B241" s="3">
        <v>311.73001099999999</v>
      </c>
      <c r="C241" s="3">
        <v>68.976196000000002</v>
      </c>
      <c r="D241" s="3">
        <v>437.64999399999999</v>
      </c>
      <c r="E241" s="3">
        <v>46.672854999999998</v>
      </c>
      <c r="F241" s="3">
        <f t="shared" si="18"/>
        <v>2014</v>
      </c>
      <c r="G241" s="3" t="str">
        <f t="shared" si="19"/>
        <v>Apr</v>
      </c>
      <c r="H241" s="3" t="str">
        <f t="shared" si="20"/>
        <v>Q2</v>
      </c>
      <c r="I241" s="3">
        <f t="shared" si="21"/>
        <v>1.3409016945757028E-2</v>
      </c>
      <c r="J241" s="3">
        <f t="shared" si="22"/>
        <v>0.20285616409719401</v>
      </c>
      <c r="K241" s="3" t="str">
        <f t="shared" si="23"/>
        <v>High Volatility</v>
      </c>
      <c r="L241" s="4">
        <f>VALUE(A241)</f>
        <v>41740</v>
      </c>
    </row>
    <row r="242" spans="1:12">
      <c r="A242" s="5">
        <v>41743</v>
      </c>
      <c r="B242" s="3">
        <v>315.91000400000001</v>
      </c>
      <c r="C242" s="3">
        <v>69.962783999999999</v>
      </c>
      <c r="D242" s="3">
        <v>526.42999299999997</v>
      </c>
      <c r="E242" s="3">
        <v>47.368572</v>
      </c>
      <c r="F242" s="3">
        <f t="shared" si="18"/>
        <v>2014</v>
      </c>
      <c r="G242" s="3" t="str">
        <f t="shared" si="19"/>
        <v>Apr</v>
      </c>
      <c r="H242" s="3" t="str">
        <f t="shared" si="20"/>
        <v>Q2</v>
      </c>
      <c r="I242" s="3">
        <f t="shared" si="21"/>
        <v>5.3807412822546132E-4</v>
      </c>
      <c r="J242" s="3">
        <f t="shared" si="22"/>
        <v>1.998369990290437E-2</v>
      </c>
      <c r="K242" s="3" t="str">
        <f t="shared" si="23"/>
        <v>Normal</v>
      </c>
      <c r="L242" s="4">
        <f>VALUE(A242)</f>
        <v>41743</v>
      </c>
    </row>
    <row r="243" spans="1:12">
      <c r="A243" s="5">
        <v>41744</v>
      </c>
      <c r="B243" s="3">
        <v>316.07998700000002</v>
      </c>
      <c r="C243" s="3">
        <v>70.361221</v>
      </c>
      <c r="D243" s="3">
        <v>536.95001200000002</v>
      </c>
      <c r="E243" s="3">
        <v>46.610000999999997</v>
      </c>
      <c r="F243" s="3">
        <f t="shared" si="18"/>
        <v>2014</v>
      </c>
      <c r="G243" s="3" t="str">
        <f t="shared" si="19"/>
        <v>Apr</v>
      </c>
      <c r="H243" s="3" t="str">
        <f t="shared" si="20"/>
        <v>Q2</v>
      </c>
      <c r="I243" s="3">
        <f t="shared" si="21"/>
        <v>2.4044565656097697E-2</v>
      </c>
      <c r="J243" s="3">
        <f t="shared" si="22"/>
        <v>-6.5089880284796439E-2</v>
      </c>
      <c r="K243" s="3" t="str">
        <f t="shared" si="23"/>
        <v>High Volatility</v>
      </c>
      <c r="L243" s="4">
        <f>VALUE(A243)</f>
        <v>41744</v>
      </c>
    </row>
    <row r="244" spans="1:12">
      <c r="A244" s="5">
        <v>41745</v>
      </c>
      <c r="B244" s="3">
        <v>323.67999300000002</v>
      </c>
      <c r="C244" s="3">
        <v>71.120154999999997</v>
      </c>
      <c r="D244" s="3">
        <v>502</v>
      </c>
      <c r="E244" s="3">
        <v>47.344284000000002</v>
      </c>
      <c r="F244" s="3">
        <f t="shared" si="18"/>
        <v>2014</v>
      </c>
      <c r="G244" s="3" t="str">
        <f t="shared" si="19"/>
        <v>Apr</v>
      </c>
      <c r="H244" s="3" t="str">
        <f t="shared" si="20"/>
        <v>Q2</v>
      </c>
      <c r="I244" s="3">
        <f t="shared" si="21"/>
        <v>3.8000834979009354E-3</v>
      </c>
      <c r="J244" s="3">
        <f t="shared" si="22"/>
        <v>-3.2828707171314725E-2</v>
      </c>
      <c r="K244" s="3" t="str">
        <f t="shared" si="23"/>
        <v>Normal</v>
      </c>
      <c r="L244" s="4">
        <f>VALUE(A244)</f>
        <v>41745</v>
      </c>
    </row>
    <row r="245" spans="1:12">
      <c r="A245" s="5">
        <v>41746</v>
      </c>
      <c r="B245" s="3">
        <v>324.91000400000001</v>
      </c>
      <c r="C245" s="3">
        <v>70.465569000000002</v>
      </c>
      <c r="D245" s="3">
        <v>485.51998900000001</v>
      </c>
      <c r="E245" s="3">
        <v>49.39143</v>
      </c>
      <c r="F245" s="3">
        <f t="shared" si="18"/>
        <v>2014</v>
      </c>
      <c r="G245" s="3" t="str">
        <f t="shared" si="19"/>
        <v>Apr</v>
      </c>
      <c r="H245" s="3" t="str">
        <f t="shared" si="20"/>
        <v>Q2</v>
      </c>
      <c r="I245" s="3">
        <f t="shared" si="21"/>
        <v>1.8343513362549472E-2</v>
      </c>
      <c r="J245" s="3">
        <f t="shared" si="22"/>
        <v>4.9225882644349898E-3</v>
      </c>
      <c r="K245" s="3" t="str">
        <f t="shared" si="23"/>
        <v>Normal</v>
      </c>
      <c r="L245" s="4">
        <f>VALUE(A245)</f>
        <v>41746</v>
      </c>
    </row>
    <row r="246" spans="1:12">
      <c r="A246" s="5">
        <v>41750</v>
      </c>
      <c r="B246" s="3">
        <v>330.86999500000002</v>
      </c>
      <c r="C246" s="3">
        <v>70.541472999999996</v>
      </c>
      <c r="D246" s="3">
        <v>487.91000400000001</v>
      </c>
      <c r="E246" s="3">
        <v>49.784286000000002</v>
      </c>
      <c r="F246" s="3">
        <f t="shared" si="18"/>
        <v>2014</v>
      </c>
      <c r="G246" s="3" t="str">
        <f t="shared" si="19"/>
        <v>Apr</v>
      </c>
      <c r="H246" s="3" t="str">
        <f t="shared" si="20"/>
        <v>Q2</v>
      </c>
      <c r="I246" s="3">
        <f t="shared" si="21"/>
        <v>-4.6845831396710412E-3</v>
      </c>
      <c r="J246" s="3">
        <f t="shared" si="22"/>
        <v>-1.2502633579942544E-3</v>
      </c>
      <c r="K246" s="3" t="str">
        <f t="shared" si="23"/>
        <v>Normal</v>
      </c>
      <c r="L246" s="4">
        <f>VALUE(A246)</f>
        <v>41750</v>
      </c>
    </row>
    <row r="247" spans="1:12">
      <c r="A247" s="5">
        <v>41751</v>
      </c>
      <c r="B247" s="3">
        <v>329.32000699999998</v>
      </c>
      <c r="C247" s="3">
        <v>71.632423000000003</v>
      </c>
      <c r="D247" s="3">
        <v>487.29998799999998</v>
      </c>
      <c r="E247" s="3">
        <v>53.271427000000003</v>
      </c>
      <c r="F247" s="3">
        <f t="shared" si="18"/>
        <v>2014</v>
      </c>
      <c r="G247" s="3" t="str">
        <f t="shared" si="19"/>
        <v>Apr</v>
      </c>
      <c r="H247" s="3" t="str">
        <f t="shared" si="20"/>
        <v>Q2</v>
      </c>
      <c r="I247" s="3">
        <f t="shared" si="21"/>
        <v>-1.4393355700371884E-2</v>
      </c>
      <c r="J247" s="3">
        <f t="shared" si="22"/>
        <v>2.6657133839289183E-2</v>
      </c>
      <c r="K247" s="3" t="str">
        <f t="shared" si="23"/>
        <v>Normal</v>
      </c>
      <c r="L247" s="4">
        <f>VALUE(A247)</f>
        <v>41751</v>
      </c>
    </row>
    <row r="248" spans="1:12">
      <c r="A248" s="5">
        <v>41752</v>
      </c>
      <c r="B248" s="3">
        <v>324.57998700000002</v>
      </c>
      <c r="C248" s="3">
        <v>71.395240999999999</v>
      </c>
      <c r="D248" s="3">
        <v>500.290009</v>
      </c>
      <c r="E248" s="3">
        <v>50.5</v>
      </c>
      <c r="F248" s="3">
        <f t="shared" si="18"/>
        <v>2014</v>
      </c>
      <c r="G248" s="3" t="str">
        <f t="shared" si="19"/>
        <v>Apr</v>
      </c>
      <c r="H248" s="3" t="str">
        <f t="shared" si="20"/>
        <v>Q2</v>
      </c>
      <c r="I248" s="3">
        <f t="shared" si="21"/>
        <v>3.8726993355878023E-2</v>
      </c>
      <c r="J248" s="3">
        <f t="shared" si="22"/>
        <v>-7.1558532762943938E-2</v>
      </c>
      <c r="K248" s="3" t="str">
        <f t="shared" si="23"/>
        <v>High Volatility</v>
      </c>
      <c r="L248" s="4">
        <f>VALUE(A248)</f>
        <v>41752</v>
      </c>
    </row>
    <row r="249" spans="1:12">
      <c r="A249" s="5">
        <v>41753</v>
      </c>
      <c r="B249" s="3">
        <v>337.14999399999999</v>
      </c>
      <c r="C249" s="3">
        <v>71.233993999999996</v>
      </c>
      <c r="D249" s="3">
        <v>464.48998999999998</v>
      </c>
      <c r="E249" s="3">
        <v>49.152858999999999</v>
      </c>
      <c r="F249" s="3">
        <f t="shared" si="18"/>
        <v>2014</v>
      </c>
      <c r="G249" s="3" t="str">
        <f t="shared" si="19"/>
        <v>Apr</v>
      </c>
      <c r="H249" s="3" t="str">
        <f t="shared" si="20"/>
        <v>Q2</v>
      </c>
      <c r="I249" s="3">
        <f t="shared" si="21"/>
        <v>-9.8828437173277772E-2</v>
      </c>
      <c r="J249" s="3">
        <f t="shared" si="22"/>
        <v>-1.4252180116949261E-2</v>
      </c>
      <c r="K249" s="3" t="str">
        <f t="shared" si="23"/>
        <v>Normal</v>
      </c>
      <c r="L249" s="4">
        <f>VALUE(A249)</f>
        <v>41753</v>
      </c>
    </row>
    <row r="250" spans="1:12">
      <c r="A250" s="5">
        <v>41754</v>
      </c>
      <c r="B250" s="3">
        <v>303.82998700000002</v>
      </c>
      <c r="C250" s="3">
        <v>69.972274999999996</v>
      </c>
      <c r="D250" s="3">
        <v>457.86999500000002</v>
      </c>
      <c r="E250" s="3">
        <v>46.011429</v>
      </c>
      <c r="F250" s="3">
        <f t="shared" si="18"/>
        <v>2014</v>
      </c>
      <c r="G250" s="3" t="str">
        <f t="shared" si="19"/>
        <v>Apr</v>
      </c>
      <c r="H250" s="3" t="str">
        <f t="shared" si="20"/>
        <v>Q2</v>
      </c>
      <c r="I250" s="3">
        <f t="shared" si="21"/>
        <v>-2.3862029128810119E-2</v>
      </c>
      <c r="J250" s="3">
        <f t="shared" si="22"/>
        <v>-2.5662306174921986E-2</v>
      </c>
      <c r="K250" s="3" t="str">
        <f t="shared" si="23"/>
        <v>Normal</v>
      </c>
      <c r="L250" s="4">
        <f>VALUE(A250)</f>
        <v>41754</v>
      </c>
    </row>
    <row r="251" spans="1:12">
      <c r="A251" s="5">
        <v>41757</v>
      </c>
      <c r="B251" s="3">
        <v>296.57998700000002</v>
      </c>
      <c r="C251" s="3">
        <v>68.957222000000002</v>
      </c>
      <c r="D251" s="3">
        <v>446.11999500000002</v>
      </c>
      <c r="E251" s="3">
        <v>44.887141999999997</v>
      </c>
      <c r="F251" s="3">
        <f t="shared" si="18"/>
        <v>2014</v>
      </c>
      <c r="G251" s="3" t="str">
        <f t="shared" si="19"/>
        <v>Apr</v>
      </c>
      <c r="H251" s="3" t="str">
        <f t="shared" si="20"/>
        <v>Q2</v>
      </c>
      <c r="I251" s="3">
        <f t="shared" si="21"/>
        <v>1.2812793062803545E-2</v>
      </c>
      <c r="J251" s="3">
        <f t="shared" si="22"/>
        <v>-1.0983367826856412E-3</v>
      </c>
      <c r="K251" s="3" t="str">
        <f t="shared" si="23"/>
        <v>Normal</v>
      </c>
      <c r="L251" s="4">
        <f>VALUE(A251)</f>
        <v>41757</v>
      </c>
    </row>
    <row r="252" spans="1:12">
      <c r="A252" s="5">
        <v>41758</v>
      </c>
      <c r="B252" s="3">
        <v>300.38000499999998</v>
      </c>
      <c r="C252" s="3">
        <v>68.852890000000002</v>
      </c>
      <c r="D252" s="3">
        <v>445.63000499999998</v>
      </c>
      <c r="E252" s="3">
        <v>45.695712999999998</v>
      </c>
      <c r="F252" s="3">
        <f t="shared" si="18"/>
        <v>2014</v>
      </c>
      <c r="G252" s="3" t="str">
        <f t="shared" si="19"/>
        <v>Apr</v>
      </c>
      <c r="H252" s="3" t="str">
        <f t="shared" si="20"/>
        <v>Q2</v>
      </c>
      <c r="I252" s="3">
        <f t="shared" si="21"/>
        <v>1.2484186489044103E-2</v>
      </c>
      <c r="J252" s="3">
        <f t="shared" si="22"/>
        <v>3.2538203974842313E-2</v>
      </c>
      <c r="K252" s="3" t="str">
        <f t="shared" si="23"/>
        <v>Normal</v>
      </c>
      <c r="L252" s="4">
        <f>VALUE(A252)</f>
        <v>41758</v>
      </c>
    </row>
    <row r="253" spans="1:12">
      <c r="A253" s="5">
        <v>41759</v>
      </c>
      <c r="B253" s="3">
        <v>304.13000499999998</v>
      </c>
      <c r="C253" s="3">
        <v>70.560447999999994</v>
      </c>
      <c r="D253" s="3">
        <v>460.13000499999998</v>
      </c>
      <c r="E253" s="3">
        <v>46.005713999999998</v>
      </c>
      <c r="F253" s="3">
        <f t="shared" si="18"/>
        <v>2014</v>
      </c>
      <c r="G253" s="3" t="str">
        <f t="shared" si="19"/>
        <v>Apr</v>
      </c>
      <c r="H253" s="3" t="str">
        <f t="shared" si="20"/>
        <v>Q2</v>
      </c>
      <c r="I253" s="3">
        <f t="shared" si="21"/>
        <v>1.2363166863460324E-2</v>
      </c>
      <c r="J253" s="3">
        <f t="shared" si="22"/>
        <v>-1.4039493034148033E-2</v>
      </c>
      <c r="K253" s="3" t="str">
        <f t="shared" si="23"/>
        <v>Normal</v>
      </c>
      <c r="L253" s="4">
        <f>VALUE(A253)</f>
        <v>41759</v>
      </c>
    </row>
    <row r="254" spans="1:12">
      <c r="A254" s="5">
        <v>41760</v>
      </c>
      <c r="B254" s="3">
        <v>307.89001500000001</v>
      </c>
      <c r="C254" s="3">
        <v>68.112938</v>
      </c>
      <c r="D254" s="3">
        <v>453.67001299999998</v>
      </c>
      <c r="E254" s="3">
        <v>48.074286999999998</v>
      </c>
      <c r="F254" s="3">
        <f t="shared" si="18"/>
        <v>2014</v>
      </c>
      <c r="G254" s="3" t="str">
        <f t="shared" si="19"/>
        <v>May</v>
      </c>
      <c r="H254" s="3" t="str">
        <f t="shared" si="20"/>
        <v>Q2</v>
      </c>
      <c r="I254" s="3">
        <f t="shared" si="21"/>
        <v>3.8973332733774162E-4</v>
      </c>
      <c r="J254" s="3">
        <f t="shared" si="22"/>
        <v>-3.3107806488413397E-2</v>
      </c>
      <c r="K254" s="3" t="str">
        <f t="shared" si="23"/>
        <v>Normal</v>
      </c>
      <c r="L254" s="4">
        <f>VALUE(A254)</f>
        <v>41760</v>
      </c>
    </row>
    <row r="255" spans="1:12">
      <c r="A255" s="5">
        <v>41761</v>
      </c>
      <c r="B255" s="3">
        <v>308.01001000000002</v>
      </c>
      <c r="C255" s="3">
        <v>69.241821000000002</v>
      </c>
      <c r="D255" s="3">
        <v>438.64999399999999</v>
      </c>
      <c r="E255" s="3">
        <v>48.664287999999999</v>
      </c>
      <c r="F255" s="3">
        <f t="shared" si="18"/>
        <v>2014</v>
      </c>
      <c r="G255" s="3" t="str">
        <f t="shared" si="19"/>
        <v>May</v>
      </c>
      <c r="H255" s="3" t="str">
        <f t="shared" si="20"/>
        <v>Q2</v>
      </c>
      <c r="I255" s="3">
        <f t="shared" si="21"/>
        <v>6.6230899443818795E-3</v>
      </c>
      <c r="J255" s="3">
        <f t="shared" si="22"/>
        <v>-1.4726985269262308E-2</v>
      </c>
      <c r="K255" s="3" t="str">
        <f t="shared" si="23"/>
        <v>Normal</v>
      </c>
      <c r="L255" s="4">
        <f>VALUE(A255)</f>
        <v>41761</v>
      </c>
    </row>
    <row r="256" spans="1:12">
      <c r="A256" s="5">
        <v>41764</v>
      </c>
      <c r="B256" s="3">
        <v>310.04998799999998</v>
      </c>
      <c r="C256" s="3">
        <v>68.786475999999993</v>
      </c>
      <c r="D256" s="3">
        <v>432.19000199999999</v>
      </c>
      <c r="E256" s="3">
        <v>49.197144000000002</v>
      </c>
      <c r="F256" s="3">
        <f t="shared" si="18"/>
        <v>2014</v>
      </c>
      <c r="G256" s="3" t="str">
        <f t="shared" si="19"/>
        <v>May</v>
      </c>
      <c r="H256" s="3" t="str">
        <f t="shared" si="20"/>
        <v>Q2</v>
      </c>
      <c r="I256" s="3">
        <f t="shared" si="21"/>
        <v>-4.0864323465156858E-2</v>
      </c>
      <c r="J256" s="3">
        <f t="shared" si="22"/>
        <v>3.3226094850754999E-2</v>
      </c>
      <c r="K256" s="3" t="str">
        <f t="shared" si="23"/>
        <v>Normal</v>
      </c>
      <c r="L256" s="4">
        <f>VALUE(A256)</f>
        <v>41764</v>
      </c>
    </row>
    <row r="257" spans="1:12">
      <c r="A257" s="5">
        <v>41765</v>
      </c>
      <c r="B257" s="3">
        <v>297.38000499999998</v>
      </c>
      <c r="C257" s="3">
        <v>68.539833000000002</v>
      </c>
      <c r="D257" s="3">
        <v>446.54998799999998</v>
      </c>
      <c r="E257" s="3">
        <v>46.598571999999997</v>
      </c>
      <c r="F257" s="3">
        <f t="shared" si="18"/>
        <v>2014</v>
      </c>
      <c r="G257" s="3" t="str">
        <f t="shared" si="19"/>
        <v>May</v>
      </c>
      <c r="H257" s="3" t="str">
        <f t="shared" si="20"/>
        <v>Q2</v>
      </c>
      <c r="I257" s="3">
        <f t="shared" si="21"/>
        <v>-1.5703860116620755E-2</v>
      </c>
      <c r="J257" s="3">
        <f t="shared" si="22"/>
        <v>-1.2182293463637917E-2</v>
      </c>
      <c r="K257" s="3" t="str">
        <f t="shared" si="23"/>
        <v>Normal</v>
      </c>
      <c r="L257" s="4">
        <f>VALUE(A257)</f>
        <v>41765</v>
      </c>
    </row>
    <row r="258" spans="1:12">
      <c r="A258" s="5">
        <v>41766</v>
      </c>
      <c r="B258" s="3">
        <v>292.709991</v>
      </c>
      <c r="C258" s="3">
        <v>67.875771</v>
      </c>
      <c r="D258" s="3">
        <v>441.10998499999999</v>
      </c>
      <c r="E258" s="3">
        <v>45.791428000000003</v>
      </c>
      <c r="F258" s="3">
        <f t="shared" si="18"/>
        <v>2014</v>
      </c>
      <c r="G258" s="3" t="str">
        <f t="shared" si="19"/>
        <v>May</v>
      </c>
      <c r="H258" s="3" t="str">
        <f t="shared" si="20"/>
        <v>Q2</v>
      </c>
      <c r="I258" s="3">
        <f t="shared" si="21"/>
        <v>-1.4997725171601767E-2</v>
      </c>
      <c r="J258" s="3">
        <f t="shared" si="22"/>
        <v>9.8388772586955175E-3</v>
      </c>
      <c r="K258" s="3" t="str">
        <f t="shared" si="23"/>
        <v>Normal</v>
      </c>
      <c r="L258" s="4">
        <f>VALUE(A258)</f>
        <v>41766</v>
      </c>
    </row>
    <row r="259" spans="1:12">
      <c r="A259" s="5">
        <v>41767</v>
      </c>
      <c r="B259" s="3">
        <v>288.32000699999998</v>
      </c>
      <c r="C259" s="3">
        <v>67.477333000000002</v>
      </c>
      <c r="D259" s="3">
        <v>445.45001200000002</v>
      </c>
      <c r="E259" s="3">
        <v>45.951427000000002</v>
      </c>
      <c r="F259" s="3">
        <f t="shared" ref="F259:F322" si="24">YEAR(A259)</f>
        <v>2014</v>
      </c>
      <c r="G259" s="3" t="str">
        <f t="shared" ref="G259:G322" si="25">TEXT(A259,"MMM")</f>
        <v>May</v>
      </c>
      <c r="H259" s="3" t="str">
        <f t="shared" ref="H259:H322" si="26">"Q"&amp;ROUNDUP(MONTH(A259)/3,0)</f>
        <v>Q2</v>
      </c>
      <c r="I259" s="3">
        <f t="shared" ref="I259:I322" si="27">(B260-B259)/B259</f>
        <v>1.3595945147157278E-2</v>
      </c>
      <c r="J259" s="3">
        <f t="shared" ref="J259:J322" si="28">(D260-D259)/D259</f>
        <v>1.4479698790534496E-2</v>
      </c>
      <c r="K259" s="3" t="str">
        <f t="shared" ref="K259:K322" si="29">IF(J259="","",IF(ABS(J259)&gt;0.05,"High Volatility","Normal"))</f>
        <v>Normal</v>
      </c>
      <c r="L259" s="4">
        <f>VALUE(A259)</f>
        <v>41767</v>
      </c>
    </row>
    <row r="260" spans="1:12">
      <c r="A260" s="5">
        <v>41768</v>
      </c>
      <c r="B260" s="3">
        <v>292.23998999999998</v>
      </c>
      <c r="C260" s="3">
        <v>67.543746999999996</v>
      </c>
      <c r="D260" s="3">
        <v>451.89999399999999</v>
      </c>
      <c r="E260" s="3">
        <v>46.935715000000002</v>
      </c>
      <c r="F260" s="3">
        <f t="shared" si="24"/>
        <v>2014</v>
      </c>
      <c r="G260" s="3" t="str">
        <f t="shared" si="25"/>
        <v>May</v>
      </c>
      <c r="H260" s="3" t="str">
        <f t="shared" si="26"/>
        <v>Q2</v>
      </c>
      <c r="I260" s="3">
        <f t="shared" si="27"/>
        <v>3.633997865932044E-2</v>
      </c>
      <c r="J260" s="3">
        <f t="shared" si="28"/>
        <v>-3.9787522103839658E-2</v>
      </c>
      <c r="K260" s="3" t="str">
        <f t="shared" si="29"/>
        <v>Normal</v>
      </c>
      <c r="L260" s="4">
        <f>VALUE(A260)</f>
        <v>41768</v>
      </c>
    </row>
    <row r="261" spans="1:12">
      <c r="A261" s="5">
        <v>41771</v>
      </c>
      <c r="B261" s="3">
        <v>302.85998499999999</v>
      </c>
      <c r="C261" s="3">
        <v>68.729561000000004</v>
      </c>
      <c r="D261" s="3">
        <v>433.92001299999998</v>
      </c>
      <c r="E261" s="3">
        <v>49.349997999999999</v>
      </c>
      <c r="F261" s="3">
        <f t="shared" si="24"/>
        <v>2014</v>
      </c>
      <c r="G261" s="3" t="str">
        <f t="shared" si="25"/>
        <v>May</v>
      </c>
      <c r="H261" s="3" t="str">
        <f t="shared" si="26"/>
        <v>Q2</v>
      </c>
      <c r="I261" s="3">
        <f t="shared" si="27"/>
        <v>5.8774023910752376E-3</v>
      </c>
      <c r="J261" s="3">
        <f t="shared" si="28"/>
        <v>2.0072805445827638E-2</v>
      </c>
      <c r="K261" s="3" t="str">
        <f t="shared" si="29"/>
        <v>Normal</v>
      </c>
      <c r="L261" s="4">
        <f>VALUE(A261)</f>
        <v>41771</v>
      </c>
    </row>
    <row r="262" spans="1:12">
      <c r="A262" s="5">
        <v>41772</v>
      </c>
      <c r="B262" s="3">
        <v>304.64001500000001</v>
      </c>
      <c r="C262" s="3">
        <v>68.027534000000003</v>
      </c>
      <c r="D262" s="3">
        <v>442.63000499999998</v>
      </c>
      <c r="E262" s="3">
        <v>49.591427000000003</v>
      </c>
      <c r="F262" s="3">
        <f t="shared" si="24"/>
        <v>2014</v>
      </c>
      <c r="G262" s="3" t="str">
        <f t="shared" si="25"/>
        <v>May</v>
      </c>
      <c r="H262" s="3" t="str">
        <f t="shared" si="26"/>
        <v>Q2</v>
      </c>
      <c r="I262" s="3">
        <f t="shared" si="27"/>
        <v>-2.3043656953601412E-2</v>
      </c>
      <c r="J262" s="3">
        <f t="shared" si="28"/>
        <v>1.2357953455957024E-2</v>
      </c>
      <c r="K262" s="3" t="str">
        <f t="shared" si="29"/>
        <v>Normal</v>
      </c>
      <c r="L262" s="4">
        <f>VALUE(A262)</f>
        <v>41772</v>
      </c>
    </row>
    <row r="263" spans="1:12">
      <c r="A263" s="5">
        <v>41773</v>
      </c>
      <c r="B263" s="3">
        <v>297.61999500000002</v>
      </c>
      <c r="C263" s="3">
        <v>67.591171000000003</v>
      </c>
      <c r="D263" s="3">
        <v>448.10000600000001</v>
      </c>
      <c r="E263" s="3">
        <v>50.268569999999997</v>
      </c>
      <c r="F263" s="3">
        <f t="shared" si="24"/>
        <v>2014</v>
      </c>
      <c r="G263" s="3" t="str">
        <f t="shared" si="25"/>
        <v>May</v>
      </c>
      <c r="H263" s="3" t="str">
        <f t="shared" si="26"/>
        <v>Q2</v>
      </c>
      <c r="I263" s="3">
        <f t="shared" si="27"/>
        <v>-8.1647504899663229E-3</v>
      </c>
      <c r="J263" s="3">
        <f t="shared" si="28"/>
        <v>1.2340992916657035E-2</v>
      </c>
      <c r="K263" s="3" t="str">
        <f t="shared" si="29"/>
        <v>Normal</v>
      </c>
      <c r="L263" s="4">
        <f>VALUE(A263)</f>
        <v>41773</v>
      </c>
    </row>
    <row r="264" spans="1:12">
      <c r="A264" s="5">
        <v>41774</v>
      </c>
      <c r="B264" s="3">
        <v>295.19000199999999</v>
      </c>
      <c r="C264" s="3">
        <v>67.553229999999999</v>
      </c>
      <c r="D264" s="3">
        <v>453.63000499999998</v>
      </c>
      <c r="E264" s="3">
        <v>49.169998</v>
      </c>
      <c r="F264" s="3">
        <f t="shared" si="24"/>
        <v>2014</v>
      </c>
      <c r="G264" s="3" t="str">
        <f t="shared" si="25"/>
        <v>May</v>
      </c>
      <c r="H264" s="3" t="str">
        <f t="shared" si="26"/>
        <v>Q2</v>
      </c>
      <c r="I264" s="3">
        <f t="shared" si="27"/>
        <v>8.5030318879161185E-3</v>
      </c>
      <c r="J264" s="3">
        <f t="shared" si="28"/>
        <v>-1.8517205448082851E-3</v>
      </c>
      <c r="K264" s="3" t="str">
        <f t="shared" si="29"/>
        <v>Normal</v>
      </c>
      <c r="L264" s="4">
        <f>VALUE(A264)</f>
        <v>41774</v>
      </c>
    </row>
    <row r="265" spans="1:12">
      <c r="A265" s="5">
        <v>41775</v>
      </c>
      <c r="B265" s="3">
        <v>297.70001200000002</v>
      </c>
      <c r="C265" s="3">
        <v>67.856796000000003</v>
      </c>
      <c r="D265" s="3">
        <v>452.790009</v>
      </c>
      <c r="E265" s="3">
        <v>49.982857000000003</v>
      </c>
      <c r="F265" s="3">
        <f t="shared" si="24"/>
        <v>2014</v>
      </c>
      <c r="G265" s="3" t="str">
        <f t="shared" si="25"/>
        <v>May</v>
      </c>
      <c r="H265" s="3" t="str">
        <f t="shared" si="26"/>
        <v>Q2</v>
      </c>
      <c r="I265" s="3">
        <f t="shared" si="27"/>
        <v>-3.1575477397024513E-3</v>
      </c>
      <c r="J265" s="3">
        <f t="shared" si="28"/>
        <v>7.0187056622974156E-2</v>
      </c>
      <c r="K265" s="3" t="str">
        <f t="shared" si="29"/>
        <v>High Volatility</v>
      </c>
      <c r="L265" s="4">
        <f>VALUE(A265)</f>
        <v>41775</v>
      </c>
    </row>
    <row r="266" spans="1:12">
      <c r="A266" s="5">
        <v>41778</v>
      </c>
      <c r="B266" s="3">
        <v>296.76001000000002</v>
      </c>
      <c r="C266" s="3">
        <v>68.321631999999994</v>
      </c>
      <c r="D266" s="3">
        <v>484.57000699999998</v>
      </c>
      <c r="E266" s="3">
        <v>52.071429999999999</v>
      </c>
      <c r="F266" s="3">
        <f t="shared" si="24"/>
        <v>2014</v>
      </c>
      <c r="G266" s="3" t="str">
        <f t="shared" si="25"/>
        <v>May</v>
      </c>
      <c r="H266" s="3" t="str">
        <f t="shared" si="26"/>
        <v>Q2</v>
      </c>
      <c r="I266" s="3">
        <f t="shared" si="27"/>
        <v>1.4927860394666956E-2</v>
      </c>
      <c r="J266" s="3">
        <f t="shared" si="28"/>
        <v>8.8119135281107281E-3</v>
      </c>
      <c r="K266" s="3" t="str">
        <f t="shared" si="29"/>
        <v>Normal</v>
      </c>
      <c r="L266" s="4">
        <f>VALUE(A266)</f>
        <v>41778</v>
      </c>
    </row>
    <row r="267" spans="1:12">
      <c r="A267" s="5">
        <v>41779</v>
      </c>
      <c r="B267" s="3">
        <v>301.19000199999999</v>
      </c>
      <c r="C267" s="3">
        <v>67.581688</v>
      </c>
      <c r="D267" s="3">
        <v>488.83999599999999</v>
      </c>
      <c r="E267" s="3">
        <v>53.095714999999998</v>
      </c>
      <c r="F267" s="3">
        <f t="shared" si="24"/>
        <v>2014</v>
      </c>
      <c r="G267" s="3" t="str">
        <f t="shared" si="25"/>
        <v>May</v>
      </c>
      <c r="H267" s="3" t="str">
        <f t="shared" si="26"/>
        <v>Q2</v>
      </c>
      <c r="I267" s="3">
        <f t="shared" si="27"/>
        <v>1.2683050481868352E-2</v>
      </c>
      <c r="J267" s="3">
        <f t="shared" si="28"/>
        <v>5.4250857575082842E-2</v>
      </c>
      <c r="K267" s="3" t="str">
        <f t="shared" si="29"/>
        <v>High Volatility</v>
      </c>
      <c r="L267" s="4">
        <f>VALUE(A267)</f>
        <v>41779</v>
      </c>
    </row>
    <row r="268" spans="1:12">
      <c r="A268" s="5">
        <v>41780</v>
      </c>
      <c r="B268" s="3">
        <v>305.01001000000002</v>
      </c>
      <c r="C268" s="3">
        <v>68.056022999999996</v>
      </c>
      <c r="D268" s="3">
        <v>515.35998500000005</v>
      </c>
      <c r="E268" s="3">
        <v>55.799999</v>
      </c>
      <c r="F268" s="3">
        <f t="shared" si="24"/>
        <v>2014</v>
      </c>
      <c r="G268" s="3" t="str">
        <f t="shared" si="25"/>
        <v>May</v>
      </c>
      <c r="H268" s="3" t="str">
        <f t="shared" si="26"/>
        <v>Q2</v>
      </c>
      <c r="I268" s="3">
        <f t="shared" si="27"/>
        <v>-3.2787776374948343E-4</v>
      </c>
      <c r="J268" s="3">
        <f t="shared" si="28"/>
        <v>5.2973495798279953E-3</v>
      </c>
      <c r="K268" s="3" t="str">
        <f t="shared" si="29"/>
        <v>Normal</v>
      </c>
      <c r="L268" s="4">
        <f>VALUE(A268)</f>
        <v>41780</v>
      </c>
    </row>
    <row r="269" spans="1:12">
      <c r="A269" s="5">
        <v>41781</v>
      </c>
      <c r="B269" s="3">
        <v>304.91000400000001</v>
      </c>
      <c r="C269" s="3">
        <v>69.403098999999997</v>
      </c>
      <c r="D269" s="3">
        <v>518.09002699999996</v>
      </c>
      <c r="E269" s="3">
        <v>55.971428000000003</v>
      </c>
      <c r="F269" s="3">
        <f t="shared" si="24"/>
        <v>2014</v>
      </c>
      <c r="G269" s="3" t="str">
        <f t="shared" si="25"/>
        <v>May</v>
      </c>
      <c r="H269" s="3" t="str">
        <f t="shared" si="26"/>
        <v>Q2</v>
      </c>
      <c r="I269" s="3">
        <f t="shared" si="27"/>
        <v>2.403983438995318E-2</v>
      </c>
      <c r="J269" s="3">
        <f t="shared" si="28"/>
        <v>4.5744848896696047E-3</v>
      </c>
      <c r="K269" s="3" t="str">
        <f t="shared" si="29"/>
        <v>Normal</v>
      </c>
      <c r="L269" s="4">
        <f>VALUE(A269)</f>
        <v>41781</v>
      </c>
    </row>
    <row r="270" spans="1:12">
      <c r="A270" s="5">
        <v>41782</v>
      </c>
      <c r="B270" s="3">
        <v>312.23998999999998</v>
      </c>
      <c r="C270" s="3">
        <v>69.156433000000007</v>
      </c>
      <c r="D270" s="3">
        <v>520.46002199999998</v>
      </c>
      <c r="E270" s="3">
        <v>57.478572999999997</v>
      </c>
      <c r="F270" s="3">
        <f t="shared" si="24"/>
        <v>2014</v>
      </c>
      <c r="G270" s="3" t="str">
        <f t="shared" si="25"/>
        <v>May</v>
      </c>
      <c r="H270" s="3" t="str">
        <f t="shared" si="26"/>
        <v>Q2</v>
      </c>
      <c r="I270" s="3">
        <f t="shared" si="27"/>
        <v>-4.5477294564351036E-3</v>
      </c>
      <c r="J270" s="3">
        <f t="shared" si="28"/>
        <v>9.6798991027979439E-2</v>
      </c>
      <c r="K270" s="3" t="str">
        <f t="shared" si="29"/>
        <v>High Volatility</v>
      </c>
      <c r="L270" s="4">
        <f>VALUE(A270)</f>
        <v>41782</v>
      </c>
    </row>
    <row r="271" spans="1:12">
      <c r="A271" s="5">
        <v>41786</v>
      </c>
      <c r="B271" s="3">
        <v>310.82000699999998</v>
      </c>
      <c r="C271" s="3">
        <v>69.573845000000006</v>
      </c>
      <c r="D271" s="3">
        <v>570.84002699999996</v>
      </c>
      <c r="E271" s="3">
        <v>56.972858000000002</v>
      </c>
      <c r="F271" s="3">
        <f t="shared" si="24"/>
        <v>2014</v>
      </c>
      <c r="G271" s="3" t="str">
        <f t="shared" si="25"/>
        <v>May</v>
      </c>
      <c r="H271" s="3" t="str">
        <f t="shared" si="26"/>
        <v>Q2</v>
      </c>
      <c r="I271" s="3">
        <f t="shared" si="27"/>
        <v>-2.1234250856958532E-3</v>
      </c>
      <c r="J271" s="3">
        <f t="shared" si="28"/>
        <v>-1.1246660528940033E-2</v>
      </c>
      <c r="K271" s="3" t="str">
        <f t="shared" si="29"/>
        <v>Normal</v>
      </c>
      <c r="L271" s="4">
        <f>VALUE(A271)</f>
        <v>41786</v>
      </c>
    </row>
    <row r="272" spans="1:12">
      <c r="A272" s="5">
        <v>41787</v>
      </c>
      <c r="B272" s="3">
        <v>310.16000400000001</v>
      </c>
      <c r="C272" s="3">
        <v>68.701087999999999</v>
      </c>
      <c r="D272" s="3">
        <v>564.419983</v>
      </c>
      <c r="E272" s="3">
        <v>57.32</v>
      </c>
      <c r="F272" s="3">
        <f t="shared" si="24"/>
        <v>2014</v>
      </c>
      <c r="G272" s="3" t="str">
        <f t="shared" si="25"/>
        <v>May</v>
      </c>
      <c r="H272" s="3" t="str">
        <f t="shared" si="26"/>
        <v>Q2</v>
      </c>
      <c r="I272" s="3">
        <f t="shared" si="27"/>
        <v>1.1671379137588481E-2</v>
      </c>
      <c r="J272" s="3">
        <f t="shared" si="28"/>
        <v>8.4919022082178774E-2</v>
      </c>
      <c r="K272" s="3" t="str">
        <f t="shared" si="29"/>
        <v>High Volatility</v>
      </c>
      <c r="L272" s="4">
        <f>VALUE(A272)</f>
        <v>41787</v>
      </c>
    </row>
    <row r="273" spans="1:12">
      <c r="A273" s="5">
        <v>41788</v>
      </c>
      <c r="B273" s="3">
        <v>313.77999899999998</v>
      </c>
      <c r="C273" s="3">
        <v>68.748527999999993</v>
      </c>
      <c r="D273" s="3">
        <v>612.34997599999997</v>
      </c>
      <c r="E273" s="3">
        <v>59.314284999999998</v>
      </c>
      <c r="F273" s="3">
        <f t="shared" si="24"/>
        <v>2014</v>
      </c>
      <c r="G273" s="3" t="str">
        <f t="shared" si="25"/>
        <v>May</v>
      </c>
      <c r="H273" s="3" t="str">
        <f t="shared" si="26"/>
        <v>Q2</v>
      </c>
      <c r="I273" s="3">
        <f t="shared" si="27"/>
        <v>-3.919978978647363E-3</v>
      </c>
      <c r="J273" s="3">
        <f t="shared" si="28"/>
        <v>2.5410300661137069E-2</v>
      </c>
      <c r="K273" s="3" t="str">
        <f t="shared" si="29"/>
        <v>Normal</v>
      </c>
      <c r="L273" s="4">
        <f>VALUE(A273)</f>
        <v>41788</v>
      </c>
    </row>
    <row r="274" spans="1:12">
      <c r="A274" s="5">
        <v>41789</v>
      </c>
      <c r="B274" s="3">
        <v>312.54998799999998</v>
      </c>
      <c r="C274" s="3">
        <v>68.729561000000004</v>
      </c>
      <c r="D274" s="3">
        <v>627.90997300000004</v>
      </c>
      <c r="E274" s="3">
        <v>59.689999</v>
      </c>
      <c r="F274" s="3">
        <f t="shared" si="24"/>
        <v>2014</v>
      </c>
      <c r="G274" s="3" t="str">
        <f t="shared" si="25"/>
        <v>May</v>
      </c>
      <c r="H274" s="3" t="str">
        <f t="shared" si="26"/>
        <v>Q2</v>
      </c>
      <c r="I274" s="3">
        <f t="shared" si="27"/>
        <v>-1.1870075643707911E-2</v>
      </c>
      <c r="J274" s="3">
        <f t="shared" si="28"/>
        <v>6.612416076404623E-2</v>
      </c>
      <c r="K274" s="3" t="str">
        <f t="shared" si="29"/>
        <v>High Volatility</v>
      </c>
      <c r="L274" s="4">
        <f>VALUE(A274)</f>
        <v>41789</v>
      </c>
    </row>
    <row r="275" spans="1:12">
      <c r="A275" s="5">
        <v>41792</v>
      </c>
      <c r="B275" s="3">
        <v>308.83999599999999</v>
      </c>
      <c r="C275" s="3">
        <v>69.241821000000002</v>
      </c>
      <c r="D275" s="3">
        <v>669.42999299999997</v>
      </c>
      <c r="E275" s="3">
        <v>60.294285000000002</v>
      </c>
      <c r="F275" s="3">
        <f t="shared" si="24"/>
        <v>2014</v>
      </c>
      <c r="G275" s="3" t="str">
        <f t="shared" si="25"/>
        <v>Jun</v>
      </c>
      <c r="H275" s="3" t="str">
        <f t="shared" si="26"/>
        <v>Q2</v>
      </c>
      <c r="I275" s="3">
        <f t="shared" si="27"/>
        <v>-5.3425528473326116E-3</v>
      </c>
      <c r="J275" s="3">
        <f t="shared" si="28"/>
        <v>-4.5561149513657959E-2</v>
      </c>
      <c r="K275" s="3" t="str">
        <f t="shared" si="29"/>
        <v>Normal</v>
      </c>
      <c r="L275" s="4">
        <f>VALUE(A275)</f>
        <v>41792</v>
      </c>
    </row>
    <row r="276" spans="1:12">
      <c r="A276" s="5">
        <v>41793</v>
      </c>
      <c r="B276" s="3">
        <v>307.19000199999999</v>
      </c>
      <c r="C276" s="3">
        <v>68.938254999999998</v>
      </c>
      <c r="D276" s="3">
        <v>638.92999299999997</v>
      </c>
      <c r="E276" s="3">
        <v>59.652858999999999</v>
      </c>
      <c r="F276" s="3">
        <f t="shared" si="24"/>
        <v>2014</v>
      </c>
      <c r="G276" s="3" t="str">
        <f t="shared" si="25"/>
        <v>Jun</v>
      </c>
      <c r="H276" s="3" t="str">
        <f t="shared" si="26"/>
        <v>Q2</v>
      </c>
      <c r="I276" s="3">
        <f t="shared" si="27"/>
        <v>-1.334688620497543E-3</v>
      </c>
      <c r="J276" s="3">
        <f t="shared" si="28"/>
        <v>3.3258729802656171E-2</v>
      </c>
      <c r="K276" s="3" t="str">
        <f t="shared" si="29"/>
        <v>Normal</v>
      </c>
      <c r="L276" s="4">
        <f>VALUE(A276)</f>
        <v>41793</v>
      </c>
    </row>
    <row r="277" spans="1:12">
      <c r="A277" s="5">
        <v>41794</v>
      </c>
      <c r="B277" s="3">
        <v>306.77999899999998</v>
      </c>
      <c r="C277" s="3">
        <v>69.469513000000006</v>
      </c>
      <c r="D277" s="3">
        <v>660.17999299999997</v>
      </c>
      <c r="E277" s="3">
        <v>60.458571999999997</v>
      </c>
      <c r="F277" s="3">
        <f t="shared" si="24"/>
        <v>2014</v>
      </c>
      <c r="G277" s="3" t="str">
        <f t="shared" si="25"/>
        <v>Jun</v>
      </c>
      <c r="H277" s="3" t="str">
        <f t="shared" si="26"/>
        <v>Q2</v>
      </c>
      <c r="I277" s="3">
        <f t="shared" si="27"/>
        <v>5.4729800034975559E-2</v>
      </c>
      <c r="J277" s="3">
        <f t="shared" si="28"/>
        <v>-1.4799024665383841E-2</v>
      </c>
      <c r="K277" s="3" t="str">
        <f t="shared" si="29"/>
        <v>Normal</v>
      </c>
      <c r="L277" s="4">
        <f>VALUE(A277)</f>
        <v>41794</v>
      </c>
    </row>
    <row r="278" spans="1:12">
      <c r="A278" s="5">
        <v>41795</v>
      </c>
      <c r="B278" s="3">
        <v>323.57000699999998</v>
      </c>
      <c r="C278" s="3">
        <v>69.545387000000005</v>
      </c>
      <c r="D278" s="3">
        <v>650.40997300000004</v>
      </c>
      <c r="E278" s="3">
        <v>61.192855999999999</v>
      </c>
      <c r="F278" s="3">
        <f t="shared" si="24"/>
        <v>2014</v>
      </c>
      <c r="G278" s="3" t="str">
        <f t="shared" si="25"/>
        <v>Jun</v>
      </c>
      <c r="H278" s="3" t="str">
        <f t="shared" si="26"/>
        <v>Q2</v>
      </c>
      <c r="I278" s="3">
        <f t="shared" si="27"/>
        <v>1.8852198498113603E-2</v>
      </c>
      <c r="J278" s="3">
        <f t="shared" si="28"/>
        <v>1.9372550426743926E-3</v>
      </c>
      <c r="K278" s="3" t="str">
        <f t="shared" si="29"/>
        <v>Normal</v>
      </c>
      <c r="L278" s="4">
        <f>VALUE(A278)</f>
        <v>41795</v>
      </c>
    </row>
    <row r="279" spans="1:12">
      <c r="A279" s="5">
        <v>41796</v>
      </c>
      <c r="B279" s="3">
        <v>329.67001299999998</v>
      </c>
      <c r="C279" s="3">
        <v>70.114593999999997</v>
      </c>
      <c r="D279" s="3">
        <v>651.669983</v>
      </c>
      <c r="E279" s="3">
        <v>61.447144000000002</v>
      </c>
      <c r="F279" s="3">
        <f t="shared" si="24"/>
        <v>2014</v>
      </c>
      <c r="G279" s="3" t="str">
        <f t="shared" si="25"/>
        <v>Jun</v>
      </c>
      <c r="H279" s="3" t="str">
        <f t="shared" si="26"/>
        <v>Q2</v>
      </c>
      <c r="I279" s="3">
        <f t="shared" si="27"/>
        <v>-6.5823790894805568E-3</v>
      </c>
      <c r="J279" s="3">
        <f t="shared" si="28"/>
        <v>6.0613686421705495E-3</v>
      </c>
      <c r="K279" s="3" t="str">
        <f t="shared" si="29"/>
        <v>Normal</v>
      </c>
      <c r="L279" s="4">
        <f>VALUE(A279)</f>
        <v>41796</v>
      </c>
    </row>
    <row r="280" spans="1:12">
      <c r="A280" s="5">
        <v>41799</v>
      </c>
      <c r="B280" s="3">
        <v>327.5</v>
      </c>
      <c r="C280" s="3">
        <v>69.649742000000003</v>
      </c>
      <c r="D280" s="3">
        <v>655.61999500000002</v>
      </c>
      <c r="E280" s="3">
        <v>60.441428999999999</v>
      </c>
      <c r="F280" s="3">
        <f t="shared" si="24"/>
        <v>2014</v>
      </c>
      <c r="G280" s="3" t="str">
        <f t="shared" si="25"/>
        <v>Jun</v>
      </c>
      <c r="H280" s="3" t="str">
        <f t="shared" si="26"/>
        <v>Q2</v>
      </c>
      <c r="I280" s="3">
        <f t="shared" si="27"/>
        <v>1.4992378625954244E-2</v>
      </c>
      <c r="J280" s="3">
        <f t="shared" si="28"/>
        <v>-1.9325193094515067E-2</v>
      </c>
      <c r="K280" s="3" t="str">
        <f t="shared" si="29"/>
        <v>Normal</v>
      </c>
      <c r="L280" s="4">
        <f>VALUE(A280)</f>
        <v>41799</v>
      </c>
    </row>
    <row r="281" spans="1:12">
      <c r="A281" s="5">
        <v>41800</v>
      </c>
      <c r="B281" s="3">
        <v>332.41000400000001</v>
      </c>
      <c r="C281" s="3">
        <v>69.308220000000006</v>
      </c>
      <c r="D281" s="3">
        <v>642.95001200000002</v>
      </c>
      <c r="E281" s="3">
        <v>61.184283999999998</v>
      </c>
      <c r="F281" s="3">
        <f t="shared" si="24"/>
        <v>2014</v>
      </c>
      <c r="G281" s="3" t="str">
        <f t="shared" si="25"/>
        <v>Jun</v>
      </c>
      <c r="H281" s="3" t="str">
        <f t="shared" si="26"/>
        <v>Q2</v>
      </c>
      <c r="I281" s="3">
        <f t="shared" si="27"/>
        <v>8.3932732662281729E-3</v>
      </c>
      <c r="J281" s="3">
        <f t="shared" si="28"/>
        <v>-7.1265271241646749E-2</v>
      </c>
      <c r="K281" s="3" t="str">
        <f t="shared" si="29"/>
        <v>High Volatility</v>
      </c>
      <c r="L281" s="4">
        <f>VALUE(A281)</f>
        <v>41800</v>
      </c>
    </row>
    <row r="282" spans="1:12">
      <c r="A282" s="5">
        <v>41801</v>
      </c>
      <c r="B282" s="3">
        <v>335.20001200000002</v>
      </c>
      <c r="C282" s="3">
        <v>69.831772000000001</v>
      </c>
      <c r="D282" s="3">
        <v>597.13000499999998</v>
      </c>
      <c r="E282" s="3">
        <v>61.428570000000001</v>
      </c>
      <c r="F282" s="3">
        <f t="shared" si="24"/>
        <v>2014</v>
      </c>
      <c r="G282" s="3" t="str">
        <f t="shared" si="25"/>
        <v>Jun</v>
      </c>
      <c r="H282" s="3" t="str">
        <f t="shared" si="26"/>
        <v>Q2</v>
      </c>
      <c r="I282" s="3">
        <f t="shared" si="27"/>
        <v>-2.7714820010209307E-2</v>
      </c>
      <c r="J282" s="3">
        <f t="shared" si="28"/>
        <v>2.2139183911885296E-2</v>
      </c>
      <c r="K282" s="3" t="str">
        <f t="shared" si="29"/>
        <v>Normal</v>
      </c>
      <c r="L282" s="4">
        <f>VALUE(A282)</f>
        <v>41801</v>
      </c>
    </row>
    <row r="283" spans="1:12">
      <c r="A283" s="5">
        <v>41802</v>
      </c>
      <c r="B283" s="3">
        <v>325.91000400000001</v>
      </c>
      <c r="C283" s="3">
        <v>68.879868000000002</v>
      </c>
      <c r="D283" s="3">
        <v>610.34997599999997</v>
      </c>
      <c r="E283" s="3">
        <v>60.349997999999999</v>
      </c>
      <c r="F283" s="3">
        <f t="shared" si="24"/>
        <v>2014</v>
      </c>
      <c r="G283" s="3" t="str">
        <f t="shared" si="25"/>
        <v>Jun</v>
      </c>
      <c r="H283" s="3" t="str">
        <f t="shared" si="26"/>
        <v>Q2</v>
      </c>
      <c r="I283" s="3">
        <f t="shared" si="27"/>
        <v>1.104553390757513E-3</v>
      </c>
      <c r="J283" s="3">
        <f t="shared" si="28"/>
        <v>-4.4122215219027011E-2</v>
      </c>
      <c r="K283" s="3" t="str">
        <f t="shared" si="29"/>
        <v>Normal</v>
      </c>
      <c r="L283" s="4">
        <f>VALUE(A283)</f>
        <v>41802</v>
      </c>
    </row>
    <row r="284" spans="1:12">
      <c r="A284" s="5">
        <v>41803</v>
      </c>
      <c r="B284" s="3">
        <v>326.26998900000001</v>
      </c>
      <c r="C284" s="3">
        <v>69.051215999999997</v>
      </c>
      <c r="D284" s="3">
        <v>583.419983</v>
      </c>
      <c r="E284" s="3">
        <v>61.101429000000003</v>
      </c>
      <c r="F284" s="3">
        <f t="shared" si="24"/>
        <v>2014</v>
      </c>
      <c r="G284" s="3" t="str">
        <f t="shared" si="25"/>
        <v>Jun</v>
      </c>
      <c r="H284" s="3" t="str">
        <f t="shared" si="26"/>
        <v>Q2</v>
      </c>
      <c r="I284" s="3">
        <f t="shared" si="27"/>
        <v>4.137695912939169E-3</v>
      </c>
      <c r="J284" s="3">
        <f t="shared" si="28"/>
        <v>3.7143129531783559E-2</v>
      </c>
      <c r="K284" s="3" t="str">
        <f t="shared" si="29"/>
        <v>Normal</v>
      </c>
      <c r="L284" s="4">
        <f>VALUE(A284)</f>
        <v>41803</v>
      </c>
    </row>
    <row r="285" spans="1:12">
      <c r="A285" s="5">
        <v>41806</v>
      </c>
      <c r="B285" s="3">
        <v>327.61999500000002</v>
      </c>
      <c r="C285" s="3">
        <v>68.708527000000004</v>
      </c>
      <c r="D285" s="3">
        <v>605.09002699999996</v>
      </c>
      <c r="E285" s="3">
        <v>61.465713999999998</v>
      </c>
      <c r="F285" s="3">
        <f t="shared" si="24"/>
        <v>2014</v>
      </c>
      <c r="G285" s="3" t="str">
        <f t="shared" si="25"/>
        <v>Jun</v>
      </c>
      <c r="H285" s="3" t="str">
        <f t="shared" si="26"/>
        <v>Q2</v>
      </c>
      <c r="I285" s="3">
        <f t="shared" si="27"/>
        <v>-6.1046335099296974E-3</v>
      </c>
      <c r="J285" s="3">
        <f t="shared" si="28"/>
        <v>1.8509559735315506E-3</v>
      </c>
      <c r="K285" s="3" t="str">
        <f t="shared" si="29"/>
        <v>Normal</v>
      </c>
      <c r="L285" s="4">
        <f>VALUE(A285)</f>
        <v>41806</v>
      </c>
    </row>
    <row r="286" spans="1:12">
      <c r="A286" s="5">
        <v>41807</v>
      </c>
      <c r="B286" s="3">
        <v>325.61999500000002</v>
      </c>
      <c r="C286" s="3">
        <v>67.585273999999998</v>
      </c>
      <c r="D286" s="3">
        <v>606.21002199999998</v>
      </c>
      <c r="E286" s="3">
        <v>63.378571000000001</v>
      </c>
      <c r="F286" s="3">
        <f t="shared" si="24"/>
        <v>2014</v>
      </c>
      <c r="G286" s="3" t="str">
        <f t="shared" si="25"/>
        <v>Jun</v>
      </c>
      <c r="H286" s="3" t="str">
        <f t="shared" si="26"/>
        <v>Q2</v>
      </c>
      <c r="I286" s="3">
        <f t="shared" si="27"/>
        <v>2.6902555538703837E-2</v>
      </c>
      <c r="J286" s="3">
        <f t="shared" si="28"/>
        <v>-9.9636079589591128E-3</v>
      </c>
      <c r="K286" s="3" t="str">
        <f t="shared" si="29"/>
        <v>Normal</v>
      </c>
      <c r="L286" s="4">
        <f>VALUE(A286)</f>
        <v>41807</v>
      </c>
    </row>
    <row r="287" spans="1:12">
      <c r="A287" s="5">
        <v>41808</v>
      </c>
      <c r="B287" s="3">
        <v>334.38000499999998</v>
      </c>
      <c r="C287" s="3">
        <v>68.527671999999995</v>
      </c>
      <c r="D287" s="3">
        <v>600.169983</v>
      </c>
      <c r="E287" s="3">
        <v>64.097144999999998</v>
      </c>
      <c r="F287" s="3">
        <f t="shared" si="24"/>
        <v>2014</v>
      </c>
      <c r="G287" s="3" t="str">
        <f t="shared" si="25"/>
        <v>Jun</v>
      </c>
      <c r="H287" s="3" t="str">
        <f t="shared" si="26"/>
        <v>Q2</v>
      </c>
      <c r="I287" s="3">
        <f t="shared" si="27"/>
        <v>-2.2070712631277051E-2</v>
      </c>
      <c r="J287" s="3">
        <f t="shared" si="28"/>
        <v>-1.5695525045943529E-2</v>
      </c>
      <c r="K287" s="3" t="str">
        <f t="shared" si="29"/>
        <v>Normal</v>
      </c>
      <c r="L287" s="4">
        <f>VALUE(A287)</f>
        <v>41808</v>
      </c>
    </row>
    <row r="288" spans="1:12">
      <c r="A288" s="5">
        <v>41809</v>
      </c>
      <c r="B288" s="3">
        <v>327</v>
      </c>
      <c r="C288" s="3">
        <v>68.384888000000004</v>
      </c>
      <c r="D288" s="3">
        <v>590.75</v>
      </c>
      <c r="E288" s="3">
        <v>63.055714000000002</v>
      </c>
      <c r="F288" s="3">
        <f t="shared" si="24"/>
        <v>2014</v>
      </c>
      <c r="G288" s="3" t="str">
        <f t="shared" si="25"/>
        <v>Jun</v>
      </c>
      <c r="H288" s="3" t="str">
        <f t="shared" si="26"/>
        <v>Q2</v>
      </c>
      <c r="I288" s="3">
        <f t="shared" si="27"/>
        <v>-8.5626544342507181E-3</v>
      </c>
      <c r="J288" s="3">
        <f t="shared" si="28"/>
        <v>1.0647444773592923E-2</v>
      </c>
      <c r="K288" s="3" t="str">
        <f t="shared" si="29"/>
        <v>Normal</v>
      </c>
      <c r="L288" s="4">
        <f>VALUE(A288)</f>
        <v>41809</v>
      </c>
    </row>
    <row r="289" spans="1:12">
      <c r="A289" s="5">
        <v>41810</v>
      </c>
      <c r="B289" s="3">
        <v>324.20001200000002</v>
      </c>
      <c r="C289" s="3">
        <v>68.346794000000003</v>
      </c>
      <c r="D289" s="3">
        <v>597.03997800000002</v>
      </c>
      <c r="E289" s="3">
        <v>62.882857999999999</v>
      </c>
      <c r="F289" s="3">
        <f t="shared" si="24"/>
        <v>2014</v>
      </c>
      <c r="G289" s="3" t="str">
        <f t="shared" si="25"/>
        <v>Jun</v>
      </c>
      <c r="H289" s="3" t="str">
        <f t="shared" si="26"/>
        <v>Q2</v>
      </c>
      <c r="I289" s="3">
        <f t="shared" si="27"/>
        <v>9.3768596159088426E-3</v>
      </c>
      <c r="J289" s="3">
        <f t="shared" si="28"/>
        <v>-1.3851598393298839E-2</v>
      </c>
      <c r="K289" s="3" t="str">
        <f t="shared" si="29"/>
        <v>Normal</v>
      </c>
      <c r="L289" s="4">
        <f>VALUE(A289)</f>
        <v>41810</v>
      </c>
    </row>
    <row r="290" spans="1:12">
      <c r="A290" s="5">
        <v>41813</v>
      </c>
      <c r="B290" s="3">
        <v>327.23998999999998</v>
      </c>
      <c r="C290" s="3">
        <v>68.137389999999996</v>
      </c>
      <c r="D290" s="3">
        <v>588.77002000000005</v>
      </c>
      <c r="E290" s="3">
        <v>62.78857</v>
      </c>
      <c r="F290" s="3">
        <f t="shared" si="24"/>
        <v>2014</v>
      </c>
      <c r="G290" s="3" t="str">
        <f t="shared" si="25"/>
        <v>Jun</v>
      </c>
      <c r="H290" s="3" t="str">
        <f t="shared" si="26"/>
        <v>Q2</v>
      </c>
      <c r="I290" s="3">
        <f t="shared" si="27"/>
        <v>-9.4120098219045989E-3</v>
      </c>
      <c r="J290" s="3">
        <f t="shared" si="28"/>
        <v>-3.4512640436413576E-2</v>
      </c>
      <c r="K290" s="3" t="str">
        <f t="shared" si="29"/>
        <v>Normal</v>
      </c>
      <c r="L290" s="4">
        <f>VALUE(A290)</f>
        <v>41813</v>
      </c>
    </row>
    <row r="291" spans="1:12">
      <c r="A291" s="5">
        <v>41814</v>
      </c>
      <c r="B291" s="3">
        <v>324.16000400000001</v>
      </c>
      <c r="C291" s="3">
        <v>68.651420999999999</v>
      </c>
      <c r="D291" s="3">
        <v>568.45001200000002</v>
      </c>
      <c r="E291" s="3">
        <v>62.337142999999998</v>
      </c>
      <c r="F291" s="3">
        <f t="shared" si="24"/>
        <v>2014</v>
      </c>
      <c r="G291" s="3" t="str">
        <f t="shared" si="25"/>
        <v>Jun</v>
      </c>
      <c r="H291" s="3" t="str">
        <f t="shared" si="26"/>
        <v>Q2</v>
      </c>
      <c r="I291" s="3">
        <f t="shared" si="27"/>
        <v>1.0118453725093049E-2</v>
      </c>
      <c r="J291" s="3">
        <f t="shared" si="28"/>
        <v>2.5068167295596785E-2</v>
      </c>
      <c r="K291" s="3" t="str">
        <f t="shared" si="29"/>
        <v>Normal</v>
      </c>
      <c r="L291" s="4">
        <f>VALUE(A291)</f>
        <v>41814</v>
      </c>
    </row>
    <row r="292" spans="1:12">
      <c r="A292" s="5">
        <v>41815</v>
      </c>
      <c r="B292" s="3">
        <v>327.44000199999999</v>
      </c>
      <c r="C292" s="3">
        <v>68.936988999999997</v>
      </c>
      <c r="D292" s="3">
        <v>582.70001200000002</v>
      </c>
      <c r="E292" s="3">
        <v>63.458571999999997</v>
      </c>
      <c r="F292" s="3">
        <f t="shared" si="24"/>
        <v>2014</v>
      </c>
      <c r="G292" s="3" t="str">
        <f t="shared" si="25"/>
        <v>Jun</v>
      </c>
      <c r="H292" s="3" t="str">
        <f t="shared" si="26"/>
        <v>Q2</v>
      </c>
      <c r="I292" s="3">
        <f t="shared" si="27"/>
        <v>-5.3444905610524644E-3</v>
      </c>
      <c r="J292" s="3">
        <f t="shared" si="28"/>
        <v>3.3516333615589387E-2</v>
      </c>
      <c r="K292" s="3" t="str">
        <f t="shared" si="29"/>
        <v>Normal</v>
      </c>
      <c r="L292" s="4">
        <f>VALUE(A292)</f>
        <v>41815</v>
      </c>
    </row>
    <row r="293" spans="1:12">
      <c r="A293" s="5">
        <v>41816</v>
      </c>
      <c r="B293" s="3">
        <v>325.69000199999999</v>
      </c>
      <c r="C293" s="3">
        <v>69.079750000000004</v>
      </c>
      <c r="D293" s="3">
        <v>602.22997999999995</v>
      </c>
      <c r="E293" s="3">
        <v>62.801430000000003</v>
      </c>
      <c r="F293" s="3">
        <f t="shared" si="24"/>
        <v>2014</v>
      </c>
      <c r="G293" s="3" t="str">
        <f t="shared" si="25"/>
        <v>Jun</v>
      </c>
      <c r="H293" s="3" t="str">
        <f t="shared" si="26"/>
        <v>Q2</v>
      </c>
      <c r="I293" s="3">
        <f t="shared" si="27"/>
        <v>-3.4388375237874732E-3</v>
      </c>
      <c r="J293" s="3">
        <f t="shared" si="28"/>
        <v>-7.7544827642091231E-3</v>
      </c>
      <c r="K293" s="3" t="str">
        <f t="shared" si="29"/>
        <v>Normal</v>
      </c>
      <c r="L293" s="4">
        <f>VALUE(A293)</f>
        <v>41816</v>
      </c>
    </row>
    <row r="294" spans="1:12">
      <c r="A294" s="5">
        <v>41817</v>
      </c>
      <c r="B294" s="3">
        <v>324.57000699999998</v>
      </c>
      <c r="C294" s="3">
        <v>69.470055000000002</v>
      </c>
      <c r="D294" s="3">
        <v>597.55999799999995</v>
      </c>
      <c r="E294" s="3">
        <v>63.154285000000002</v>
      </c>
      <c r="F294" s="3">
        <f t="shared" si="24"/>
        <v>2014</v>
      </c>
      <c r="G294" s="3" t="str">
        <f t="shared" si="25"/>
        <v>Jun</v>
      </c>
      <c r="H294" s="3" t="str">
        <f t="shared" si="26"/>
        <v>Q2</v>
      </c>
      <c r="I294" s="3">
        <f t="shared" si="27"/>
        <v>6.4698522805898E-4</v>
      </c>
      <c r="J294" s="3">
        <f t="shared" si="28"/>
        <v>7.6360539782986112E-2</v>
      </c>
      <c r="K294" s="3" t="str">
        <f t="shared" si="29"/>
        <v>High Volatility</v>
      </c>
      <c r="L294" s="4">
        <f>VALUE(A294)</f>
        <v>41817</v>
      </c>
    </row>
    <row r="295" spans="1:12">
      <c r="A295" s="5">
        <v>41820</v>
      </c>
      <c r="B295" s="3">
        <v>324.77999899999998</v>
      </c>
      <c r="C295" s="3">
        <v>69.574737999999996</v>
      </c>
      <c r="D295" s="3">
        <v>643.19000200000005</v>
      </c>
      <c r="E295" s="3">
        <v>62.942855999999999</v>
      </c>
      <c r="F295" s="3">
        <f t="shared" si="24"/>
        <v>2014</v>
      </c>
      <c r="G295" s="3" t="str">
        <f t="shared" si="25"/>
        <v>Jun</v>
      </c>
      <c r="H295" s="3" t="str">
        <f t="shared" si="26"/>
        <v>Q2</v>
      </c>
      <c r="I295" s="3">
        <f t="shared" si="27"/>
        <v>2.3431295102627397E-2</v>
      </c>
      <c r="J295" s="3">
        <f t="shared" si="28"/>
        <v>3.9334706573998287E-3</v>
      </c>
      <c r="K295" s="3" t="str">
        <f t="shared" si="29"/>
        <v>Normal</v>
      </c>
      <c r="L295" s="4">
        <f>VALUE(A295)</f>
        <v>41820</v>
      </c>
    </row>
    <row r="296" spans="1:12">
      <c r="A296" s="5">
        <v>41821</v>
      </c>
      <c r="B296" s="3">
        <v>332.39001500000001</v>
      </c>
      <c r="C296" s="3">
        <v>70.479065000000006</v>
      </c>
      <c r="D296" s="3">
        <v>645.71997099999999</v>
      </c>
      <c r="E296" s="3">
        <v>67.585716000000005</v>
      </c>
      <c r="F296" s="3">
        <f t="shared" si="24"/>
        <v>2014</v>
      </c>
      <c r="G296" s="3" t="str">
        <f t="shared" si="25"/>
        <v>Jul</v>
      </c>
      <c r="H296" s="3" t="str">
        <f t="shared" si="26"/>
        <v>Q3</v>
      </c>
      <c r="I296" s="3">
        <f t="shared" si="27"/>
        <v>1.3838893445701197E-3</v>
      </c>
      <c r="J296" s="3">
        <f t="shared" si="28"/>
        <v>-1.1909097357002721E-2</v>
      </c>
      <c r="K296" s="3" t="str">
        <f t="shared" si="29"/>
        <v>Normal</v>
      </c>
      <c r="L296" s="4">
        <f>VALUE(A296)</f>
        <v>41821</v>
      </c>
    </row>
    <row r="297" spans="1:12">
      <c r="A297" s="5">
        <v>41822</v>
      </c>
      <c r="B297" s="3">
        <v>332.85000600000001</v>
      </c>
      <c r="C297" s="3">
        <v>69.888885000000002</v>
      </c>
      <c r="D297" s="3">
        <v>638.03002900000001</v>
      </c>
      <c r="E297" s="3">
        <v>66.677138999999997</v>
      </c>
      <c r="F297" s="3">
        <f t="shared" si="24"/>
        <v>2014</v>
      </c>
      <c r="G297" s="3" t="str">
        <f t="shared" si="25"/>
        <v>Jul</v>
      </c>
      <c r="H297" s="3" t="str">
        <f t="shared" si="26"/>
        <v>Q3</v>
      </c>
      <c r="I297" s="3">
        <f t="shared" si="27"/>
        <v>1.3940164988309989E-2</v>
      </c>
      <c r="J297" s="3">
        <f t="shared" si="28"/>
        <v>-2.2052264565121327E-2</v>
      </c>
      <c r="K297" s="3" t="str">
        <f t="shared" si="29"/>
        <v>Normal</v>
      </c>
      <c r="L297" s="4">
        <f>VALUE(A297)</f>
        <v>41822</v>
      </c>
    </row>
    <row r="298" spans="1:12">
      <c r="A298" s="5">
        <v>41823</v>
      </c>
      <c r="B298" s="3">
        <v>337.48998999999998</v>
      </c>
      <c r="C298" s="3">
        <v>70.088783000000006</v>
      </c>
      <c r="D298" s="3">
        <v>623.96002199999998</v>
      </c>
      <c r="E298" s="3">
        <v>67.478568999999993</v>
      </c>
      <c r="F298" s="3">
        <f t="shared" si="24"/>
        <v>2014</v>
      </c>
      <c r="G298" s="3" t="str">
        <f t="shared" si="25"/>
        <v>Jul</v>
      </c>
      <c r="H298" s="3" t="str">
        <f t="shared" si="26"/>
        <v>Q3</v>
      </c>
      <c r="I298" s="3">
        <f t="shared" si="27"/>
        <v>-1.1674426254834974E-2</v>
      </c>
      <c r="J298" s="3">
        <f t="shared" si="28"/>
        <v>-1.3847065028791138E-2</v>
      </c>
      <c r="K298" s="3" t="str">
        <f t="shared" si="29"/>
        <v>Normal</v>
      </c>
      <c r="L298" s="4">
        <f>VALUE(A298)</f>
        <v>41823</v>
      </c>
    </row>
    <row r="299" spans="1:12">
      <c r="A299" s="5">
        <v>41827</v>
      </c>
      <c r="B299" s="3">
        <v>333.54998799999998</v>
      </c>
      <c r="C299" s="3">
        <v>70.012649999999994</v>
      </c>
      <c r="D299" s="3">
        <v>615.32000700000003</v>
      </c>
      <c r="E299" s="3">
        <v>65.802856000000006</v>
      </c>
      <c r="F299" s="3">
        <f t="shared" si="24"/>
        <v>2014</v>
      </c>
      <c r="G299" s="3" t="str">
        <f t="shared" si="25"/>
        <v>Jul</v>
      </c>
      <c r="H299" s="3" t="str">
        <f t="shared" si="26"/>
        <v>Q3</v>
      </c>
      <c r="I299" s="3">
        <f t="shared" si="27"/>
        <v>-2.9200990407470734E-2</v>
      </c>
      <c r="J299" s="3">
        <f t="shared" si="28"/>
        <v>1.248129901942221E-2</v>
      </c>
      <c r="K299" s="3" t="str">
        <f t="shared" si="29"/>
        <v>Normal</v>
      </c>
      <c r="L299" s="4">
        <f>VALUE(A299)</f>
        <v>41827</v>
      </c>
    </row>
    <row r="300" spans="1:12">
      <c r="A300" s="5">
        <v>41828</v>
      </c>
      <c r="B300" s="3">
        <v>323.80999800000001</v>
      </c>
      <c r="C300" s="3">
        <v>69.869857999999994</v>
      </c>
      <c r="D300" s="3">
        <v>623</v>
      </c>
      <c r="E300" s="3">
        <v>63.578570999999997</v>
      </c>
      <c r="F300" s="3">
        <f t="shared" si="24"/>
        <v>2014</v>
      </c>
      <c r="G300" s="3" t="str">
        <f t="shared" si="25"/>
        <v>Jul</v>
      </c>
      <c r="H300" s="3" t="str">
        <f t="shared" si="26"/>
        <v>Q3</v>
      </c>
      <c r="I300" s="3">
        <f t="shared" si="27"/>
        <v>1.9023510818217595E-2</v>
      </c>
      <c r="J300" s="3">
        <f t="shared" si="28"/>
        <v>-7.3996548956662142E-3</v>
      </c>
      <c r="K300" s="3" t="str">
        <f t="shared" si="29"/>
        <v>Normal</v>
      </c>
      <c r="L300" s="4">
        <f>VALUE(A300)</f>
        <v>41828</v>
      </c>
    </row>
    <row r="301" spans="1:12">
      <c r="A301" s="5">
        <v>41829</v>
      </c>
      <c r="B301" s="3">
        <v>329.97000100000002</v>
      </c>
      <c r="C301" s="3">
        <v>71.040694999999999</v>
      </c>
      <c r="D301" s="3">
        <v>618.39001499999995</v>
      </c>
      <c r="E301" s="3">
        <v>63.285713000000001</v>
      </c>
      <c r="F301" s="3">
        <f t="shared" si="24"/>
        <v>2014</v>
      </c>
      <c r="G301" s="3" t="str">
        <f t="shared" si="25"/>
        <v>Jul</v>
      </c>
      <c r="H301" s="3" t="str">
        <f t="shared" si="26"/>
        <v>Q3</v>
      </c>
      <c r="I301" s="3">
        <f t="shared" si="27"/>
        <v>-6.2126496159874891E-3</v>
      </c>
      <c r="J301" s="3">
        <f t="shared" si="28"/>
        <v>2.3464170908387132E-2</v>
      </c>
      <c r="K301" s="3" t="str">
        <f t="shared" si="29"/>
        <v>Normal</v>
      </c>
      <c r="L301" s="4">
        <f>VALUE(A301)</f>
        <v>41829</v>
      </c>
    </row>
    <row r="302" spans="1:12">
      <c r="A302" s="5">
        <v>41830</v>
      </c>
      <c r="B302" s="3">
        <v>327.92001299999998</v>
      </c>
      <c r="C302" s="3">
        <v>70.155434</v>
      </c>
      <c r="D302" s="3">
        <v>632.90002400000003</v>
      </c>
      <c r="E302" s="3">
        <v>62.650002000000001</v>
      </c>
      <c r="F302" s="3">
        <f t="shared" si="24"/>
        <v>2014</v>
      </c>
      <c r="G302" s="3" t="str">
        <f t="shared" si="25"/>
        <v>Jul</v>
      </c>
      <c r="H302" s="3" t="str">
        <f t="shared" si="26"/>
        <v>Q3</v>
      </c>
      <c r="I302" s="3">
        <f t="shared" si="27"/>
        <v>5.5745298473137209E-2</v>
      </c>
      <c r="J302" s="3">
        <f t="shared" si="28"/>
        <v>4.7400851417885234E-3</v>
      </c>
      <c r="K302" s="3" t="str">
        <f t="shared" si="29"/>
        <v>Normal</v>
      </c>
      <c r="L302" s="4">
        <f>VALUE(A302)</f>
        <v>41830</v>
      </c>
    </row>
    <row r="303" spans="1:12">
      <c r="A303" s="5">
        <v>41831</v>
      </c>
      <c r="B303" s="3">
        <v>346.20001200000002</v>
      </c>
      <c r="C303" s="3">
        <v>70.041190999999998</v>
      </c>
      <c r="D303" s="3">
        <v>635.90002400000003</v>
      </c>
      <c r="E303" s="3">
        <v>62.851429000000003</v>
      </c>
      <c r="F303" s="3">
        <f t="shared" si="24"/>
        <v>2014</v>
      </c>
      <c r="G303" s="3" t="str">
        <f t="shared" si="25"/>
        <v>Jul</v>
      </c>
      <c r="H303" s="3" t="str">
        <f t="shared" si="26"/>
        <v>Q3</v>
      </c>
      <c r="I303" s="3">
        <f t="shared" si="27"/>
        <v>2.6343138890474561E-2</v>
      </c>
      <c r="J303" s="3">
        <f t="shared" si="28"/>
        <v>-2.5633035673544902E-2</v>
      </c>
      <c r="K303" s="3" t="str">
        <f t="shared" si="29"/>
        <v>Normal</v>
      </c>
      <c r="L303" s="4">
        <f>VALUE(A303)</f>
        <v>41831</v>
      </c>
    </row>
    <row r="304" spans="1:12">
      <c r="A304" s="5">
        <v>41834</v>
      </c>
      <c r="B304" s="3">
        <v>355.32000699999998</v>
      </c>
      <c r="C304" s="3">
        <v>70.107826000000003</v>
      </c>
      <c r="D304" s="3">
        <v>619.59997599999997</v>
      </c>
      <c r="E304" s="3">
        <v>64.654289000000006</v>
      </c>
      <c r="F304" s="3">
        <f t="shared" si="24"/>
        <v>2014</v>
      </c>
      <c r="G304" s="3" t="str">
        <f t="shared" si="25"/>
        <v>Jul</v>
      </c>
      <c r="H304" s="3" t="str">
        <f t="shared" si="26"/>
        <v>Q3</v>
      </c>
      <c r="I304" s="3">
        <f t="shared" si="27"/>
        <v>-2.4766547975441835E-3</v>
      </c>
      <c r="J304" s="3">
        <f t="shared" si="28"/>
        <v>-7.7469144382277784E-3</v>
      </c>
      <c r="K304" s="3" t="str">
        <f t="shared" si="29"/>
        <v>Normal</v>
      </c>
      <c r="L304" s="4">
        <f>VALUE(A304)</f>
        <v>41834</v>
      </c>
    </row>
    <row r="305" spans="1:12">
      <c r="A305" s="5">
        <v>41835</v>
      </c>
      <c r="B305" s="3">
        <v>354.44000199999999</v>
      </c>
      <c r="C305" s="3">
        <v>69.727065999999994</v>
      </c>
      <c r="D305" s="3">
        <v>614.79998799999998</v>
      </c>
      <c r="E305" s="3">
        <v>64.155715999999998</v>
      </c>
      <c r="F305" s="3">
        <f t="shared" si="24"/>
        <v>2014</v>
      </c>
      <c r="G305" s="3" t="str">
        <f t="shared" si="25"/>
        <v>Jul</v>
      </c>
      <c r="H305" s="3" t="str">
        <f t="shared" si="26"/>
        <v>Q3</v>
      </c>
      <c r="I305" s="3">
        <f t="shared" si="27"/>
        <v>4.1191513140776924E-3</v>
      </c>
      <c r="J305" s="3">
        <f t="shared" si="28"/>
        <v>1.9160750211335419E-2</v>
      </c>
      <c r="K305" s="3" t="str">
        <f t="shared" si="29"/>
        <v>Normal</v>
      </c>
      <c r="L305" s="4">
        <f>VALUE(A305)</f>
        <v>41835</v>
      </c>
    </row>
    <row r="306" spans="1:12">
      <c r="A306" s="5">
        <v>41836</v>
      </c>
      <c r="B306" s="3">
        <v>355.89999399999999</v>
      </c>
      <c r="C306" s="3">
        <v>69.527161000000007</v>
      </c>
      <c r="D306" s="3">
        <v>626.580017</v>
      </c>
      <c r="E306" s="3">
        <v>63.491427999999999</v>
      </c>
      <c r="F306" s="3">
        <f t="shared" si="24"/>
        <v>2014</v>
      </c>
      <c r="G306" s="3" t="str">
        <f t="shared" si="25"/>
        <v>Jul</v>
      </c>
      <c r="H306" s="3" t="str">
        <f t="shared" si="26"/>
        <v>Q3</v>
      </c>
      <c r="I306" s="3">
        <f t="shared" si="27"/>
        <v>-9.693683782416633E-3</v>
      </c>
      <c r="J306" s="3">
        <f t="shared" si="28"/>
        <v>1.4203357525843165E-3</v>
      </c>
      <c r="K306" s="3" t="str">
        <f t="shared" si="29"/>
        <v>Normal</v>
      </c>
      <c r="L306" s="4">
        <f>VALUE(A306)</f>
        <v>41836</v>
      </c>
    </row>
    <row r="307" spans="1:12">
      <c r="A307" s="5">
        <v>41837</v>
      </c>
      <c r="B307" s="3">
        <v>352.45001200000002</v>
      </c>
      <c r="C307" s="3">
        <v>69.108322000000001</v>
      </c>
      <c r="D307" s="3">
        <v>627.46997099999999</v>
      </c>
      <c r="E307" s="3">
        <v>62.765712999999998</v>
      </c>
      <c r="F307" s="3">
        <f t="shared" si="24"/>
        <v>2014</v>
      </c>
      <c r="G307" s="3" t="str">
        <f t="shared" si="25"/>
        <v>Jul</v>
      </c>
      <c r="H307" s="3" t="str">
        <f t="shared" si="26"/>
        <v>Q3</v>
      </c>
      <c r="I307" s="3">
        <f t="shared" si="27"/>
        <v>1.7619497201208777E-2</v>
      </c>
      <c r="J307" s="3">
        <f t="shared" si="28"/>
        <v>-6.8528060285448728E-4</v>
      </c>
      <c r="K307" s="3" t="str">
        <f t="shared" si="29"/>
        <v>Normal</v>
      </c>
      <c r="L307" s="4">
        <f>VALUE(A307)</f>
        <v>41837</v>
      </c>
    </row>
    <row r="308" spans="1:12">
      <c r="A308" s="5">
        <v>41838</v>
      </c>
      <c r="B308" s="3">
        <v>358.66000400000001</v>
      </c>
      <c r="C308" s="3">
        <v>69.708031000000005</v>
      </c>
      <c r="D308" s="3">
        <v>627.03997800000002</v>
      </c>
      <c r="E308" s="3">
        <v>63.452857999999999</v>
      </c>
      <c r="F308" s="3">
        <f t="shared" si="24"/>
        <v>2014</v>
      </c>
      <c r="G308" s="3" t="str">
        <f t="shared" si="25"/>
        <v>Jul</v>
      </c>
      <c r="H308" s="3" t="str">
        <f t="shared" si="26"/>
        <v>Q3</v>
      </c>
      <c r="I308" s="3">
        <f t="shared" si="27"/>
        <v>3.0669881997771003E-3</v>
      </c>
      <c r="J308" s="3">
        <f t="shared" si="28"/>
        <v>-7.1924425207861402E-3</v>
      </c>
      <c r="K308" s="3" t="str">
        <f t="shared" si="29"/>
        <v>Normal</v>
      </c>
      <c r="L308" s="4">
        <f>VALUE(A308)</f>
        <v>41838</v>
      </c>
    </row>
    <row r="309" spans="1:12">
      <c r="A309" s="5">
        <v>41841</v>
      </c>
      <c r="B309" s="3">
        <v>359.76001000000002</v>
      </c>
      <c r="C309" s="3">
        <v>69.860328999999993</v>
      </c>
      <c r="D309" s="3">
        <v>622.53002900000001</v>
      </c>
      <c r="E309" s="3">
        <v>64.564284999999998</v>
      </c>
      <c r="F309" s="3">
        <f t="shared" si="24"/>
        <v>2014</v>
      </c>
      <c r="G309" s="3" t="str">
        <f t="shared" si="25"/>
        <v>Jul</v>
      </c>
      <c r="H309" s="3" t="str">
        <f t="shared" si="26"/>
        <v>Q3</v>
      </c>
      <c r="I309" s="3">
        <f t="shared" si="27"/>
        <v>3.001962335947129E-3</v>
      </c>
      <c r="J309" s="3">
        <f t="shared" si="28"/>
        <v>-1.3493758708304233E-3</v>
      </c>
      <c r="K309" s="3" t="str">
        <f t="shared" si="29"/>
        <v>Normal</v>
      </c>
      <c r="L309" s="4">
        <f>VALUE(A309)</f>
        <v>41841</v>
      </c>
    </row>
    <row r="310" spans="1:12">
      <c r="A310" s="5">
        <v>41842</v>
      </c>
      <c r="B310" s="3">
        <v>360.83999599999999</v>
      </c>
      <c r="C310" s="3">
        <v>72.449532000000005</v>
      </c>
      <c r="D310" s="3">
        <v>621.69000200000005</v>
      </c>
      <c r="E310" s="3">
        <v>61.584285999999999</v>
      </c>
      <c r="F310" s="3">
        <f t="shared" si="24"/>
        <v>2014</v>
      </c>
      <c r="G310" s="3" t="str">
        <f t="shared" si="25"/>
        <v>Jul</v>
      </c>
      <c r="H310" s="3" t="str">
        <f t="shared" si="26"/>
        <v>Q3</v>
      </c>
      <c r="I310" s="3">
        <f t="shared" si="27"/>
        <v>-7.4824881663062091E-3</v>
      </c>
      <c r="J310" s="3">
        <f t="shared" si="28"/>
        <v>-3.1880852090653423E-2</v>
      </c>
      <c r="K310" s="3" t="str">
        <f t="shared" si="29"/>
        <v>Normal</v>
      </c>
      <c r="L310" s="4">
        <f>VALUE(A310)</f>
        <v>41842</v>
      </c>
    </row>
    <row r="311" spans="1:12">
      <c r="A311" s="5">
        <v>41843</v>
      </c>
      <c r="B311" s="3">
        <v>358.14001500000001</v>
      </c>
      <c r="C311" s="3">
        <v>71.802231000000006</v>
      </c>
      <c r="D311" s="3">
        <v>601.86999500000002</v>
      </c>
      <c r="E311" s="3">
        <v>61.128571000000001</v>
      </c>
      <c r="F311" s="3">
        <f t="shared" si="24"/>
        <v>2014</v>
      </c>
      <c r="G311" s="3" t="str">
        <f t="shared" si="25"/>
        <v>Jul</v>
      </c>
      <c r="H311" s="3" t="str">
        <f t="shared" si="26"/>
        <v>Q3</v>
      </c>
      <c r="I311" s="3">
        <f t="shared" si="27"/>
        <v>1.3122521369191022E-3</v>
      </c>
      <c r="J311" s="3">
        <f t="shared" si="28"/>
        <v>-2.2762307664132967E-3</v>
      </c>
      <c r="K311" s="3" t="str">
        <f t="shared" si="29"/>
        <v>Normal</v>
      </c>
      <c r="L311" s="4">
        <f>VALUE(A311)</f>
        <v>41843</v>
      </c>
    </row>
    <row r="312" spans="1:12">
      <c r="A312" s="5">
        <v>41844</v>
      </c>
      <c r="B312" s="3">
        <v>358.60998499999999</v>
      </c>
      <c r="C312" s="3">
        <v>71.021666999999994</v>
      </c>
      <c r="D312" s="3">
        <v>600.5</v>
      </c>
      <c r="E312" s="3">
        <v>60.768569999999997</v>
      </c>
      <c r="F312" s="3">
        <f t="shared" si="24"/>
        <v>2014</v>
      </c>
      <c r="G312" s="3" t="str">
        <f t="shared" si="25"/>
        <v>Jul</v>
      </c>
      <c r="H312" s="3" t="str">
        <f t="shared" si="26"/>
        <v>Q3</v>
      </c>
      <c r="I312" s="3">
        <f t="shared" si="27"/>
        <v>-9.6483579507692666E-2</v>
      </c>
      <c r="J312" s="3">
        <f t="shared" si="28"/>
        <v>-7.4937552039966698E-3</v>
      </c>
      <c r="K312" s="3" t="str">
        <f t="shared" si="29"/>
        <v>Normal</v>
      </c>
      <c r="L312" s="4">
        <f>VALUE(A312)</f>
        <v>41844</v>
      </c>
    </row>
    <row r="313" spans="1:12">
      <c r="A313" s="5">
        <v>41845</v>
      </c>
      <c r="B313" s="3">
        <v>324.01001000000002</v>
      </c>
      <c r="C313" s="3">
        <v>70.659942999999998</v>
      </c>
      <c r="D313" s="3">
        <v>596</v>
      </c>
      <c r="E313" s="3">
        <v>60.265712999999998</v>
      </c>
      <c r="F313" s="3">
        <f t="shared" si="24"/>
        <v>2014</v>
      </c>
      <c r="G313" s="3" t="str">
        <f t="shared" si="25"/>
        <v>Jul</v>
      </c>
      <c r="H313" s="3" t="str">
        <f t="shared" si="26"/>
        <v>Q3</v>
      </c>
      <c r="I313" s="3">
        <f t="shared" si="27"/>
        <v>-1.1110786361199172E-2</v>
      </c>
      <c r="J313" s="3">
        <f t="shared" si="28"/>
        <v>-1.7164395973154285E-2</v>
      </c>
      <c r="K313" s="3" t="str">
        <f t="shared" si="29"/>
        <v>Normal</v>
      </c>
      <c r="L313" s="4">
        <f>VALUE(A313)</f>
        <v>41845</v>
      </c>
    </row>
    <row r="314" spans="1:12">
      <c r="A314" s="5">
        <v>41848</v>
      </c>
      <c r="B314" s="3">
        <v>320.41000400000001</v>
      </c>
      <c r="C314" s="3">
        <v>70.479065000000006</v>
      </c>
      <c r="D314" s="3">
        <v>585.77002000000005</v>
      </c>
      <c r="E314" s="3">
        <v>60.665714000000001</v>
      </c>
      <c r="F314" s="3">
        <f t="shared" si="24"/>
        <v>2014</v>
      </c>
      <c r="G314" s="3" t="str">
        <f t="shared" si="25"/>
        <v>Jul</v>
      </c>
      <c r="H314" s="3" t="str">
        <f t="shared" si="26"/>
        <v>Q3</v>
      </c>
      <c r="I314" s="3">
        <f t="shared" si="27"/>
        <v>-1.2796229670781905E-3</v>
      </c>
      <c r="J314" s="3">
        <f t="shared" si="28"/>
        <v>-3.6072185804251464E-2</v>
      </c>
      <c r="K314" s="3" t="str">
        <f t="shared" si="29"/>
        <v>Normal</v>
      </c>
      <c r="L314" s="4">
        <f>VALUE(A314)</f>
        <v>41848</v>
      </c>
    </row>
    <row r="315" spans="1:12">
      <c r="A315" s="5">
        <v>41849</v>
      </c>
      <c r="B315" s="3">
        <v>320</v>
      </c>
      <c r="C315" s="3">
        <v>70.317245</v>
      </c>
      <c r="D315" s="3">
        <v>564.64001499999995</v>
      </c>
      <c r="E315" s="3">
        <v>60.611426999999999</v>
      </c>
      <c r="F315" s="3">
        <f t="shared" si="24"/>
        <v>2014</v>
      </c>
      <c r="G315" s="3" t="str">
        <f t="shared" si="25"/>
        <v>Jul</v>
      </c>
      <c r="H315" s="3" t="str">
        <f t="shared" si="26"/>
        <v>Q3</v>
      </c>
      <c r="I315" s="3">
        <f t="shared" si="27"/>
        <v>7.8437812500000703E-3</v>
      </c>
      <c r="J315" s="3">
        <f t="shared" si="28"/>
        <v>4.4063481756602213E-2</v>
      </c>
      <c r="K315" s="3" t="str">
        <f t="shared" si="29"/>
        <v>Normal</v>
      </c>
      <c r="L315" s="4">
        <f>VALUE(A315)</f>
        <v>41849</v>
      </c>
    </row>
    <row r="316" spans="1:12">
      <c r="A316" s="5">
        <v>41850</v>
      </c>
      <c r="B316" s="3">
        <v>322.51001000000002</v>
      </c>
      <c r="C316" s="3">
        <v>70.012649999999994</v>
      </c>
      <c r="D316" s="3">
        <v>589.52002000000005</v>
      </c>
      <c r="E316" s="3">
        <v>62.051430000000003</v>
      </c>
      <c r="F316" s="3">
        <f t="shared" si="24"/>
        <v>2014</v>
      </c>
      <c r="G316" s="3" t="str">
        <f t="shared" si="25"/>
        <v>Jul</v>
      </c>
      <c r="H316" s="3" t="str">
        <f t="shared" si="26"/>
        <v>Q3</v>
      </c>
      <c r="I316" s="3">
        <f t="shared" si="27"/>
        <v>-2.9518525642041448E-2</v>
      </c>
      <c r="J316" s="3">
        <f t="shared" si="28"/>
        <v>1.5707709129199662E-2</v>
      </c>
      <c r="K316" s="3" t="str">
        <f t="shared" si="29"/>
        <v>Normal</v>
      </c>
      <c r="L316" s="4">
        <f>VALUE(A316)</f>
        <v>41850</v>
      </c>
    </row>
    <row r="317" spans="1:12">
      <c r="A317" s="5">
        <v>41851</v>
      </c>
      <c r="B317" s="3">
        <v>312.98998999999998</v>
      </c>
      <c r="C317" s="3">
        <v>68.537186000000005</v>
      </c>
      <c r="D317" s="3">
        <v>598.78002900000001</v>
      </c>
      <c r="E317" s="3">
        <v>60.388573000000001</v>
      </c>
      <c r="F317" s="3">
        <f t="shared" si="24"/>
        <v>2014</v>
      </c>
      <c r="G317" s="3" t="str">
        <f t="shared" si="25"/>
        <v>Jul</v>
      </c>
      <c r="H317" s="3" t="str">
        <f t="shared" si="26"/>
        <v>Q3</v>
      </c>
      <c r="I317" s="3">
        <f t="shared" si="27"/>
        <v>-1.8946267259218004E-2</v>
      </c>
      <c r="J317" s="3">
        <f t="shared" si="28"/>
        <v>-1.1790737262548258E-2</v>
      </c>
      <c r="K317" s="3" t="str">
        <f t="shared" si="29"/>
        <v>Normal</v>
      </c>
      <c r="L317" s="4">
        <f>VALUE(A317)</f>
        <v>41851</v>
      </c>
    </row>
    <row r="318" spans="1:12">
      <c r="A318" s="5">
        <v>41852</v>
      </c>
      <c r="B318" s="3">
        <v>307.05999800000001</v>
      </c>
      <c r="C318" s="3">
        <v>66.795203999999998</v>
      </c>
      <c r="D318" s="3">
        <v>591.71997099999999</v>
      </c>
      <c r="E318" s="3">
        <v>60.771427000000003</v>
      </c>
      <c r="F318" s="3">
        <f t="shared" si="24"/>
        <v>2014</v>
      </c>
      <c r="G318" s="3" t="str">
        <f t="shared" si="25"/>
        <v>Aug</v>
      </c>
      <c r="H318" s="3" t="str">
        <f t="shared" si="26"/>
        <v>Q3</v>
      </c>
      <c r="I318" s="3">
        <f t="shared" si="27"/>
        <v>2.1461590708406066E-2</v>
      </c>
      <c r="J318" s="3">
        <f t="shared" si="28"/>
        <v>-5.0023003195206021E-3</v>
      </c>
      <c r="K318" s="3" t="str">
        <f t="shared" si="29"/>
        <v>Normal</v>
      </c>
      <c r="L318" s="4">
        <f>VALUE(A318)</f>
        <v>41852</v>
      </c>
    </row>
    <row r="319" spans="1:12">
      <c r="A319" s="5">
        <v>41855</v>
      </c>
      <c r="B319" s="3">
        <v>313.64999399999999</v>
      </c>
      <c r="C319" s="3">
        <v>67.870864999999995</v>
      </c>
      <c r="D319" s="3">
        <v>588.76000999999997</v>
      </c>
      <c r="E319" s="3">
        <v>60.385714999999998</v>
      </c>
      <c r="F319" s="3">
        <f t="shared" si="24"/>
        <v>2014</v>
      </c>
      <c r="G319" s="3" t="str">
        <f t="shared" si="25"/>
        <v>Aug</v>
      </c>
      <c r="H319" s="3" t="str">
        <f t="shared" si="26"/>
        <v>Q3</v>
      </c>
      <c r="I319" s="3">
        <f t="shared" si="27"/>
        <v>-4.240353978772966E-3</v>
      </c>
      <c r="J319" s="3">
        <f t="shared" si="28"/>
        <v>1.7154867566499285E-3</v>
      </c>
      <c r="K319" s="3" t="str">
        <f t="shared" si="29"/>
        <v>Normal</v>
      </c>
      <c r="L319" s="4">
        <f>VALUE(A319)</f>
        <v>41855</v>
      </c>
    </row>
    <row r="320" spans="1:12">
      <c r="A320" s="5">
        <v>41856</v>
      </c>
      <c r="B320" s="3">
        <v>312.32000699999998</v>
      </c>
      <c r="C320" s="3">
        <v>67.870864999999995</v>
      </c>
      <c r="D320" s="3">
        <v>589.77002000000005</v>
      </c>
      <c r="E320" s="3">
        <v>60.407142999999998</v>
      </c>
      <c r="F320" s="3">
        <f t="shared" si="24"/>
        <v>2014</v>
      </c>
      <c r="G320" s="3" t="str">
        <f t="shared" si="25"/>
        <v>Aug</v>
      </c>
      <c r="H320" s="3" t="str">
        <f t="shared" si="26"/>
        <v>Q3</v>
      </c>
      <c r="I320" s="3">
        <f t="shared" si="27"/>
        <v>5.026920993889546E-3</v>
      </c>
      <c r="J320" s="3">
        <f t="shared" si="28"/>
        <v>5.1375415793429779E-3</v>
      </c>
      <c r="K320" s="3" t="str">
        <f t="shared" si="29"/>
        <v>Normal</v>
      </c>
      <c r="L320" s="4">
        <f>VALUE(A320)</f>
        <v>41856</v>
      </c>
    </row>
    <row r="321" spans="1:12">
      <c r="A321" s="5">
        <v>41857</v>
      </c>
      <c r="B321" s="3">
        <v>313.89001500000001</v>
      </c>
      <c r="C321" s="3">
        <v>67.899399000000003</v>
      </c>
      <c r="D321" s="3">
        <v>592.79998799999998</v>
      </c>
      <c r="E321" s="3">
        <v>61.471428000000003</v>
      </c>
      <c r="F321" s="3">
        <f t="shared" si="24"/>
        <v>2014</v>
      </c>
      <c r="G321" s="3" t="str">
        <f t="shared" si="25"/>
        <v>Aug</v>
      </c>
      <c r="H321" s="3" t="str">
        <f t="shared" si="26"/>
        <v>Q3</v>
      </c>
      <c r="I321" s="3">
        <f t="shared" si="27"/>
        <v>-7.7734329969049512E-3</v>
      </c>
      <c r="J321" s="3">
        <f t="shared" si="28"/>
        <v>5.1450540852574795E-3</v>
      </c>
      <c r="K321" s="3" t="str">
        <f t="shared" si="29"/>
        <v>Normal</v>
      </c>
      <c r="L321" s="4">
        <f>VALUE(A321)</f>
        <v>41857</v>
      </c>
    </row>
    <row r="322" spans="1:12">
      <c r="A322" s="5">
        <v>41858</v>
      </c>
      <c r="B322" s="3">
        <v>311.45001200000002</v>
      </c>
      <c r="C322" s="3">
        <v>67.908919999999995</v>
      </c>
      <c r="D322" s="3">
        <v>595.84997599999997</v>
      </c>
      <c r="E322" s="3">
        <v>64.238570999999993</v>
      </c>
      <c r="F322" s="3">
        <f t="shared" si="24"/>
        <v>2014</v>
      </c>
      <c r="G322" s="3" t="str">
        <f t="shared" si="25"/>
        <v>Aug</v>
      </c>
      <c r="H322" s="3" t="str">
        <f t="shared" si="26"/>
        <v>Q3</v>
      </c>
      <c r="I322" s="3">
        <f t="shared" si="27"/>
        <v>1.7177639408792088E-2</v>
      </c>
      <c r="J322" s="3">
        <f t="shared" si="28"/>
        <v>-1.0623405647330135E-2</v>
      </c>
      <c r="K322" s="3" t="str">
        <f t="shared" si="29"/>
        <v>Normal</v>
      </c>
      <c r="L322" s="4">
        <f>VALUE(A322)</f>
        <v>41858</v>
      </c>
    </row>
    <row r="323" spans="1:12">
      <c r="A323" s="5">
        <v>41859</v>
      </c>
      <c r="B323" s="3">
        <v>316.79998799999998</v>
      </c>
      <c r="C323" s="3">
        <v>68.594299000000007</v>
      </c>
      <c r="D323" s="3">
        <v>589.52002000000005</v>
      </c>
      <c r="E323" s="3">
        <v>63.692855999999999</v>
      </c>
      <c r="F323" s="3">
        <f t="shared" ref="F323:F386" si="30">YEAR(A323)</f>
        <v>2014</v>
      </c>
      <c r="G323" s="3" t="str">
        <f t="shared" ref="G323:G386" si="31">TEXT(A323,"MMM")</f>
        <v>Aug</v>
      </c>
      <c r="H323" s="3" t="str">
        <f t="shared" ref="H323:H386" si="32">"Q"&amp;ROUNDUP(MONTH(A323)/3,0)</f>
        <v>Q3</v>
      </c>
      <c r="I323" s="3">
        <f t="shared" ref="I323:I386" si="33">(B324-B323)/B323</f>
        <v>4.8295424809171143E-3</v>
      </c>
      <c r="J323" s="3">
        <f t="shared" ref="J323:J386" si="34">(D324-D323)/D323</f>
        <v>-3.7081093530971193E-2</v>
      </c>
      <c r="K323" s="3" t="str">
        <f t="shared" ref="K323:K386" si="35">IF(J323="","",IF(ABS(J323)&gt;0.05,"High Volatility","Normal"))</f>
        <v>Normal</v>
      </c>
      <c r="L323" s="4">
        <f>VALUE(A323)</f>
        <v>41859</v>
      </c>
    </row>
    <row r="324" spans="1:12">
      <c r="A324" s="5">
        <v>41862</v>
      </c>
      <c r="B324" s="3">
        <v>318.32998700000002</v>
      </c>
      <c r="C324" s="3">
        <v>69.251129000000006</v>
      </c>
      <c r="D324" s="3">
        <v>567.65997300000004</v>
      </c>
      <c r="E324" s="3">
        <v>64.505713999999998</v>
      </c>
      <c r="F324" s="3">
        <f t="shared" si="30"/>
        <v>2014</v>
      </c>
      <c r="G324" s="3" t="str">
        <f t="shared" si="31"/>
        <v>Aug</v>
      </c>
      <c r="H324" s="3" t="str">
        <f t="shared" si="32"/>
        <v>Q3</v>
      </c>
      <c r="I324" s="3">
        <f t="shared" si="33"/>
        <v>3.1100431641080629E-3</v>
      </c>
      <c r="J324" s="3">
        <f t="shared" si="34"/>
        <v>-4.5026949610202767E-2</v>
      </c>
      <c r="K324" s="3" t="str">
        <f t="shared" si="35"/>
        <v>Normal</v>
      </c>
      <c r="L324" s="4">
        <f>VALUE(A324)</f>
        <v>41862</v>
      </c>
    </row>
    <row r="325" spans="1:12">
      <c r="A325" s="5">
        <v>41863</v>
      </c>
      <c r="B325" s="3">
        <v>319.32000699999998</v>
      </c>
      <c r="C325" s="3">
        <v>70.155434</v>
      </c>
      <c r="D325" s="3">
        <v>542.09997599999997</v>
      </c>
      <c r="E325" s="3">
        <v>63.772857999999999</v>
      </c>
      <c r="F325" s="3">
        <f t="shared" si="30"/>
        <v>2014</v>
      </c>
      <c r="G325" s="3" t="str">
        <f t="shared" si="31"/>
        <v>Aug</v>
      </c>
      <c r="H325" s="3" t="str">
        <f t="shared" si="32"/>
        <v>Q3</v>
      </c>
      <c r="I325" s="3">
        <f t="shared" si="33"/>
        <v>2.1796291642947385E-2</v>
      </c>
      <c r="J325" s="3">
        <f t="shared" si="34"/>
        <v>-6.8806474177006763E-2</v>
      </c>
      <c r="K325" s="3" t="str">
        <f t="shared" si="35"/>
        <v>High Volatility</v>
      </c>
      <c r="L325" s="4">
        <f>VALUE(A325)</f>
        <v>41863</v>
      </c>
    </row>
    <row r="326" spans="1:12">
      <c r="A326" s="5">
        <v>41864</v>
      </c>
      <c r="B326" s="3">
        <v>326.27999899999998</v>
      </c>
      <c r="C326" s="3">
        <v>70.907425000000003</v>
      </c>
      <c r="D326" s="3">
        <v>504.79998799999998</v>
      </c>
      <c r="E326" s="3">
        <v>64.504288000000003</v>
      </c>
      <c r="F326" s="3">
        <f t="shared" si="30"/>
        <v>2014</v>
      </c>
      <c r="G326" s="3" t="str">
        <f t="shared" si="31"/>
        <v>Aug</v>
      </c>
      <c r="H326" s="3" t="str">
        <f t="shared" si="32"/>
        <v>Q3</v>
      </c>
      <c r="I326" s="3">
        <f t="shared" si="33"/>
        <v>2.1239401805931805E-2</v>
      </c>
      <c r="J326" s="3">
        <f t="shared" si="34"/>
        <v>-1.6541157287032204E-2</v>
      </c>
      <c r="K326" s="3" t="str">
        <f t="shared" si="35"/>
        <v>Normal</v>
      </c>
      <c r="L326" s="4">
        <f>VALUE(A326)</f>
        <v>41864</v>
      </c>
    </row>
    <row r="327" spans="1:12">
      <c r="A327" s="5">
        <v>41865</v>
      </c>
      <c r="B327" s="3">
        <v>333.209991</v>
      </c>
      <c r="C327" s="3">
        <v>71.154906999999994</v>
      </c>
      <c r="D327" s="3">
        <v>496.45001200000002</v>
      </c>
      <c r="E327" s="3">
        <v>64.410004000000001</v>
      </c>
      <c r="F327" s="3">
        <f t="shared" si="30"/>
        <v>2014</v>
      </c>
      <c r="G327" s="3" t="str">
        <f t="shared" si="31"/>
        <v>Aug</v>
      </c>
      <c r="H327" s="3" t="str">
        <f t="shared" si="32"/>
        <v>Q3</v>
      </c>
      <c r="I327" s="3">
        <f t="shared" si="33"/>
        <v>1.2605084221498646E-3</v>
      </c>
      <c r="J327" s="3">
        <f t="shared" si="34"/>
        <v>5.1485542113351684E-2</v>
      </c>
      <c r="K327" s="3" t="str">
        <f t="shared" si="35"/>
        <v>High Volatility</v>
      </c>
      <c r="L327" s="4">
        <f>VALUE(A327)</f>
        <v>41865</v>
      </c>
    </row>
    <row r="328" spans="1:12">
      <c r="A328" s="5">
        <v>41866</v>
      </c>
      <c r="B328" s="3">
        <v>333.63000499999998</v>
      </c>
      <c r="C328" s="3">
        <v>70.964545999999999</v>
      </c>
      <c r="D328" s="3">
        <v>522.01000999999997</v>
      </c>
      <c r="E328" s="3">
        <v>65.584282000000002</v>
      </c>
      <c r="F328" s="3">
        <f t="shared" si="30"/>
        <v>2014</v>
      </c>
      <c r="G328" s="3" t="str">
        <f t="shared" si="31"/>
        <v>Aug</v>
      </c>
      <c r="H328" s="3" t="str">
        <f t="shared" si="32"/>
        <v>Q3</v>
      </c>
      <c r="I328" s="3">
        <f t="shared" si="33"/>
        <v>2.6975811123462726E-3</v>
      </c>
      <c r="J328" s="3">
        <f t="shared" si="34"/>
        <v>-7.0669171650558874E-2</v>
      </c>
      <c r="K328" s="3" t="str">
        <f t="shared" si="35"/>
        <v>High Volatility</v>
      </c>
      <c r="L328" s="4">
        <f>VALUE(A328)</f>
        <v>41866</v>
      </c>
    </row>
    <row r="329" spans="1:12">
      <c r="A329" s="5">
        <v>41869</v>
      </c>
      <c r="B329" s="3">
        <v>334.52999899999998</v>
      </c>
      <c r="C329" s="3">
        <v>71.430976999999999</v>
      </c>
      <c r="D329" s="3">
        <v>485.11999500000002</v>
      </c>
      <c r="E329" s="3">
        <v>66.571426000000002</v>
      </c>
      <c r="F329" s="3">
        <f t="shared" si="30"/>
        <v>2014</v>
      </c>
      <c r="G329" s="3" t="str">
        <f t="shared" si="31"/>
        <v>Aug</v>
      </c>
      <c r="H329" s="3" t="str">
        <f t="shared" si="32"/>
        <v>Q3</v>
      </c>
      <c r="I329" s="3">
        <f t="shared" si="33"/>
        <v>1.7935790565676822E-3</v>
      </c>
      <c r="J329" s="3">
        <f t="shared" si="34"/>
        <v>6.5262273924619404E-2</v>
      </c>
      <c r="K329" s="3" t="str">
        <f t="shared" si="35"/>
        <v>High Volatility</v>
      </c>
      <c r="L329" s="4">
        <f>VALUE(A329)</f>
        <v>41869</v>
      </c>
    </row>
    <row r="330" spans="1:12">
      <c r="A330" s="5">
        <v>41870</v>
      </c>
      <c r="B330" s="3">
        <v>335.13000499999998</v>
      </c>
      <c r="C330" s="3">
        <v>71.535697999999996</v>
      </c>
      <c r="D330" s="3">
        <v>516.78002900000001</v>
      </c>
      <c r="E330" s="3">
        <v>66.878570999999994</v>
      </c>
      <c r="F330" s="3">
        <f t="shared" si="30"/>
        <v>2014</v>
      </c>
      <c r="G330" s="3" t="str">
        <f t="shared" si="31"/>
        <v>Aug</v>
      </c>
      <c r="H330" s="3" t="str">
        <f t="shared" si="32"/>
        <v>Q3</v>
      </c>
      <c r="I330" s="3">
        <f t="shared" si="33"/>
        <v>1.9395279154428217E-3</v>
      </c>
      <c r="J330" s="3">
        <f t="shared" si="34"/>
        <v>2.2446165387711536E-3</v>
      </c>
      <c r="K330" s="3" t="str">
        <f t="shared" si="35"/>
        <v>Normal</v>
      </c>
      <c r="L330" s="4">
        <f>VALUE(A330)</f>
        <v>41870</v>
      </c>
    </row>
    <row r="331" spans="1:12">
      <c r="A331" s="5">
        <v>41871</v>
      </c>
      <c r="B331" s="3">
        <v>335.77999899999998</v>
      </c>
      <c r="C331" s="3">
        <v>71.069252000000006</v>
      </c>
      <c r="D331" s="3">
        <v>517.94000200000005</v>
      </c>
      <c r="E331" s="3">
        <v>67.455710999999994</v>
      </c>
      <c r="F331" s="3">
        <f t="shared" si="30"/>
        <v>2014</v>
      </c>
      <c r="G331" s="3" t="str">
        <f t="shared" si="31"/>
        <v>Aug</v>
      </c>
      <c r="H331" s="3" t="str">
        <f t="shared" si="32"/>
        <v>Q3</v>
      </c>
      <c r="I331" s="3">
        <f t="shared" si="33"/>
        <v>-8.5472482236798163E-3</v>
      </c>
      <c r="J331" s="3">
        <f t="shared" si="34"/>
        <v>-3.552585227815788E-3</v>
      </c>
      <c r="K331" s="3" t="str">
        <f t="shared" si="35"/>
        <v>Normal</v>
      </c>
      <c r="L331" s="4">
        <f>VALUE(A331)</f>
        <v>41871</v>
      </c>
    </row>
    <row r="332" spans="1:12">
      <c r="A332" s="5">
        <v>41872</v>
      </c>
      <c r="B332" s="3">
        <v>332.91000400000001</v>
      </c>
      <c r="C332" s="3">
        <v>71.154906999999994</v>
      </c>
      <c r="D332" s="3">
        <v>516.09997599999997</v>
      </c>
      <c r="E332" s="3">
        <v>67.435715000000002</v>
      </c>
      <c r="F332" s="3">
        <f t="shared" si="30"/>
        <v>2014</v>
      </c>
      <c r="G332" s="3" t="str">
        <f t="shared" si="31"/>
        <v>Aug</v>
      </c>
      <c r="H332" s="3" t="str">
        <f t="shared" si="32"/>
        <v>Q3</v>
      </c>
      <c r="I332" s="3">
        <f t="shared" si="33"/>
        <v>-3.9650595780835402E-3</v>
      </c>
      <c r="J332" s="3">
        <f t="shared" si="34"/>
        <v>-3.569072632547448E-2</v>
      </c>
      <c r="K332" s="3" t="str">
        <f t="shared" si="35"/>
        <v>Normal</v>
      </c>
      <c r="L332" s="4">
        <f>VALUE(A332)</f>
        <v>41872</v>
      </c>
    </row>
    <row r="333" spans="1:12">
      <c r="A333" s="5">
        <v>41873</v>
      </c>
      <c r="B333" s="3">
        <v>331.58999599999999</v>
      </c>
      <c r="C333" s="3">
        <v>70.469550999999996</v>
      </c>
      <c r="D333" s="3">
        <v>497.67999300000002</v>
      </c>
      <c r="E333" s="3">
        <v>68.455710999999994</v>
      </c>
      <c r="F333" s="3">
        <f t="shared" si="30"/>
        <v>2014</v>
      </c>
      <c r="G333" s="3" t="str">
        <f t="shared" si="31"/>
        <v>Aug</v>
      </c>
      <c r="H333" s="3" t="str">
        <f t="shared" si="32"/>
        <v>Q3</v>
      </c>
      <c r="I333" s="3">
        <f t="shared" si="33"/>
        <v>7.3283061289943878E-3</v>
      </c>
      <c r="J333" s="3">
        <f t="shared" si="34"/>
        <v>2.9898740574849519E-2</v>
      </c>
      <c r="K333" s="3" t="str">
        <f t="shared" si="35"/>
        <v>Normal</v>
      </c>
      <c r="L333" s="4">
        <f>VALUE(A333)</f>
        <v>41873</v>
      </c>
    </row>
    <row r="334" spans="1:12">
      <c r="A334" s="5">
        <v>41876</v>
      </c>
      <c r="B334" s="3">
        <v>334.01998900000001</v>
      </c>
      <c r="C334" s="3">
        <v>71.421463000000003</v>
      </c>
      <c r="D334" s="3">
        <v>512.55999799999995</v>
      </c>
      <c r="E334" s="3">
        <v>68.704284999999999</v>
      </c>
      <c r="F334" s="3">
        <f t="shared" si="30"/>
        <v>2014</v>
      </c>
      <c r="G334" s="3" t="str">
        <f t="shared" si="31"/>
        <v>Aug</v>
      </c>
      <c r="H334" s="3" t="str">
        <f t="shared" si="32"/>
        <v>Q3</v>
      </c>
      <c r="I334" s="3">
        <f t="shared" si="33"/>
        <v>2.3381828205497029E-2</v>
      </c>
      <c r="J334" s="3">
        <f t="shared" si="34"/>
        <v>5.2091111487791225E-3</v>
      </c>
      <c r="K334" s="3" t="str">
        <f t="shared" si="35"/>
        <v>Normal</v>
      </c>
      <c r="L334" s="4">
        <f>VALUE(A334)</f>
        <v>41876</v>
      </c>
    </row>
    <row r="335" spans="1:12">
      <c r="A335" s="5">
        <v>41877</v>
      </c>
      <c r="B335" s="3">
        <v>341.82998700000002</v>
      </c>
      <c r="C335" s="3">
        <v>71.630889999999994</v>
      </c>
      <c r="D335" s="3">
        <v>515.22997999999995</v>
      </c>
      <c r="E335" s="3">
        <v>68.480002999999996</v>
      </c>
      <c r="F335" s="3">
        <f t="shared" si="30"/>
        <v>2014</v>
      </c>
      <c r="G335" s="3" t="str">
        <f t="shared" si="31"/>
        <v>Aug</v>
      </c>
      <c r="H335" s="3" t="str">
        <f t="shared" si="32"/>
        <v>Q3</v>
      </c>
      <c r="I335" s="3">
        <f t="shared" si="33"/>
        <v>3.9493492418498895E-3</v>
      </c>
      <c r="J335" s="3">
        <f t="shared" si="34"/>
        <v>-8.6951073770978066E-3</v>
      </c>
      <c r="K335" s="3" t="str">
        <f t="shared" si="35"/>
        <v>Normal</v>
      </c>
      <c r="L335" s="4">
        <f>VALUE(A335)</f>
        <v>41877</v>
      </c>
    </row>
    <row r="336" spans="1:12">
      <c r="A336" s="5">
        <v>41878</v>
      </c>
      <c r="B336" s="3">
        <v>343.17999300000002</v>
      </c>
      <c r="C336" s="3">
        <v>71.545203999999998</v>
      </c>
      <c r="D336" s="3">
        <v>510.75</v>
      </c>
      <c r="E336" s="3">
        <v>67.814284999999998</v>
      </c>
      <c r="F336" s="3">
        <f t="shared" si="30"/>
        <v>2014</v>
      </c>
      <c r="G336" s="3" t="str">
        <f t="shared" si="31"/>
        <v>Aug</v>
      </c>
      <c r="H336" s="3" t="str">
        <f t="shared" si="32"/>
        <v>Q3</v>
      </c>
      <c r="I336" s="3">
        <f t="shared" si="33"/>
        <v>-9.2080076474621714E-3</v>
      </c>
      <c r="J336" s="3">
        <f t="shared" si="34"/>
        <v>3.5438042094957426E-3</v>
      </c>
      <c r="K336" s="3" t="str">
        <f t="shared" si="35"/>
        <v>Normal</v>
      </c>
      <c r="L336" s="4">
        <f>VALUE(A336)</f>
        <v>41878</v>
      </c>
    </row>
    <row r="337" spans="1:12">
      <c r="A337" s="5">
        <v>41879</v>
      </c>
      <c r="B337" s="3">
        <v>340.01998900000001</v>
      </c>
      <c r="C337" s="3">
        <v>71.640395999999996</v>
      </c>
      <c r="D337" s="3">
        <v>512.55999799999995</v>
      </c>
      <c r="E337" s="3">
        <v>67.887146000000001</v>
      </c>
      <c r="F337" s="3">
        <f t="shared" si="30"/>
        <v>2014</v>
      </c>
      <c r="G337" s="3" t="str">
        <f t="shared" si="31"/>
        <v>Aug</v>
      </c>
      <c r="H337" s="3" t="str">
        <f t="shared" si="32"/>
        <v>Q3</v>
      </c>
      <c r="I337" s="3">
        <f t="shared" si="33"/>
        <v>-2.8821246741467656E-3</v>
      </c>
      <c r="J337" s="3">
        <f t="shared" si="34"/>
        <v>-1.2876554990153463E-2</v>
      </c>
      <c r="K337" s="3" t="str">
        <f t="shared" si="35"/>
        <v>Normal</v>
      </c>
      <c r="L337" s="4">
        <f>VALUE(A337)</f>
        <v>41879</v>
      </c>
    </row>
    <row r="338" spans="1:12">
      <c r="A338" s="5">
        <v>41880</v>
      </c>
      <c r="B338" s="3">
        <v>339.040009</v>
      </c>
      <c r="C338" s="3">
        <v>71.821251000000004</v>
      </c>
      <c r="D338" s="3">
        <v>505.959991</v>
      </c>
      <c r="E338" s="3">
        <v>68.234283000000005</v>
      </c>
      <c r="F338" s="3">
        <f t="shared" si="30"/>
        <v>2014</v>
      </c>
      <c r="G338" s="3" t="str">
        <f t="shared" si="31"/>
        <v>Aug</v>
      </c>
      <c r="H338" s="3" t="str">
        <f t="shared" si="32"/>
        <v>Q3</v>
      </c>
      <c r="I338" s="3">
        <f t="shared" si="33"/>
        <v>9.8513329145174279E-3</v>
      </c>
      <c r="J338" s="3">
        <f t="shared" si="34"/>
        <v>-5.1229311528705447E-2</v>
      </c>
      <c r="K338" s="3" t="str">
        <f t="shared" si="35"/>
        <v>High Volatility</v>
      </c>
      <c r="L338" s="4">
        <f>VALUE(A338)</f>
        <v>41880</v>
      </c>
    </row>
    <row r="339" spans="1:12">
      <c r="A339" s="5">
        <v>41884</v>
      </c>
      <c r="B339" s="3">
        <v>342.38000499999998</v>
      </c>
      <c r="C339" s="3">
        <v>72.344802999999999</v>
      </c>
      <c r="D339" s="3">
        <v>480.040009</v>
      </c>
      <c r="E339" s="3">
        <v>68.085716000000005</v>
      </c>
      <c r="F339" s="3">
        <f t="shared" si="30"/>
        <v>2014</v>
      </c>
      <c r="G339" s="3" t="str">
        <f t="shared" si="31"/>
        <v>Sep</v>
      </c>
      <c r="H339" s="3" t="str">
        <f t="shared" si="32"/>
        <v>Q3</v>
      </c>
      <c r="I339" s="3">
        <f t="shared" si="33"/>
        <v>-9.8720864263086364E-3</v>
      </c>
      <c r="J339" s="3">
        <f t="shared" si="34"/>
        <v>2.2810559109042887E-2</v>
      </c>
      <c r="K339" s="3" t="str">
        <f t="shared" si="35"/>
        <v>Normal</v>
      </c>
      <c r="L339" s="4">
        <f>VALUE(A339)</f>
        <v>41884</v>
      </c>
    </row>
    <row r="340" spans="1:12">
      <c r="A340" s="5">
        <v>41885</v>
      </c>
      <c r="B340" s="3">
        <v>339</v>
      </c>
      <c r="C340" s="3">
        <v>71.973549000000006</v>
      </c>
      <c r="D340" s="3">
        <v>490.98998999999998</v>
      </c>
      <c r="E340" s="3">
        <v>68.198570000000004</v>
      </c>
      <c r="F340" s="3">
        <f t="shared" si="30"/>
        <v>2014</v>
      </c>
      <c r="G340" s="3" t="str">
        <f t="shared" si="31"/>
        <v>Sep</v>
      </c>
      <c r="H340" s="3" t="str">
        <f t="shared" si="32"/>
        <v>Q3</v>
      </c>
      <c r="I340" s="3">
        <f t="shared" si="33"/>
        <v>2.0501510324483819E-2</v>
      </c>
      <c r="J340" s="3">
        <f t="shared" si="34"/>
        <v>-1.4949380128910542E-2</v>
      </c>
      <c r="K340" s="3" t="str">
        <f t="shared" si="35"/>
        <v>Normal</v>
      </c>
      <c r="L340" s="4">
        <f>VALUE(A340)</f>
        <v>41885</v>
      </c>
    </row>
    <row r="341" spans="1:12">
      <c r="A341" s="5">
        <v>41886</v>
      </c>
      <c r="B341" s="3">
        <v>345.95001200000002</v>
      </c>
      <c r="C341" s="3">
        <v>71.754631000000003</v>
      </c>
      <c r="D341" s="3">
        <v>483.64999399999999</v>
      </c>
      <c r="E341" s="3">
        <v>67.524283999999994</v>
      </c>
      <c r="F341" s="3">
        <f t="shared" si="30"/>
        <v>2014</v>
      </c>
      <c r="G341" s="3" t="str">
        <f t="shared" si="31"/>
        <v>Sep</v>
      </c>
      <c r="H341" s="3" t="str">
        <f t="shared" si="32"/>
        <v>Q3</v>
      </c>
      <c r="I341" s="3">
        <f t="shared" si="33"/>
        <v>1.2429339068789154E-3</v>
      </c>
      <c r="J341" s="3">
        <f t="shared" si="34"/>
        <v>1.6954554123286775E-3</v>
      </c>
      <c r="K341" s="3" t="str">
        <f t="shared" si="35"/>
        <v>Normal</v>
      </c>
      <c r="L341" s="4">
        <f>VALUE(A341)</f>
        <v>41886</v>
      </c>
    </row>
    <row r="342" spans="1:12">
      <c r="A342" s="5">
        <v>41887</v>
      </c>
      <c r="B342" s="3">
        <v>346.38000499999998</v>
      </c>
      <c r="C342" s="3">
        <v>72.75412</v>
      </c>
      <c r="D342" s="3">
        <v>484.47000100000002</v>
      </c>
      <c r="E342" s="3">
        <v>67.954284999999999</v>
      </c>
      <c r="F342" s="3">
        <f t="shared" si="30"/>
        <v>2014</v>
      </c>
      <c r="G342" s="3" t="str">
        <f t="shared" si="31"/>
        <v>Sep</v>
      </c>
      <c r="H342" s="3" t="str">
        <f t="shared" si="32"/>
        <v>Q3</v>
      </c>
      <c r="I342" s="3">
        <f t="shared" si="33"/>
        <v>-1.1663516778342901E-2</v>
      </c>
      <c r="J342" s="3">
        <f t="shared" si="34"/>
        <v>-1.9753559519157991E-2</v>
      </c>
      <c r="K342" s="3" t="str">
        <f t="shared" si="35"/>
        <v>Normal</v>
      </c>
      <c r="L342" s="4">
        <f>VALUE(A342)</f>
        <v>41887</v>
      </c>
    </row>
    <row r="343" spans="1:12">
      <c r="A343" s="5">
        <v>41890</v>
      </c>
      <c r="B343" s="3">
        <v>342.33999599999999</v>
      </c>
      <c r="C343" s="3">
        <v>72.401923999999994</v>
      </c>
      <c r="D343" s="3">
        <v>474.89999399999999</v>
      </c>
      <c r="E343" s="3">
        <v>68.475716000000006</v>
      </c>
      <c r="F343" s="3">
        <f t="shared" si="30"/>
        <v>2014</v>
      </c>
      <c r="G343" s="3" t="str">
        <f t="shared" si="31"/>
        <v>Sep</v>
      </c>
      <c r="H343" s="3" t="str">
        <f t="shared" si="32"/>
        <v>Q3</v>
      </c>
      <c r="I343" s="3">
        <f t="shared" si="33"/>
        <v>-3.6776293004338254E-2</v>
      </c>
      <c r="J343" s="3">
        <f t="shared" si="34"/>
        <v>1.0107429060106542E-2</v>
      </c>
      <c r="K343" s="3" t="str">
        <f t="shared" si="35"/>
        <v>Normal</v>
      </c>
      <c r="L343" s="4">
        <f>VALUE(A343)</f>
        <v>41890</v>
      </c>
    </row>
    <row r="344" spans="1:12">
      <c r="A344" s="5">
        <v>41891</v>
      </c>
      <c r="B344" s="3">
        <v>329.75</v>
      </c>
      <c r="C344" s="3">
        <v>71.906936999999999</v>
      </c>
      <c r="D344" s="3">
        <v>479.70001200000002</v>
      </c>
      <c r="E344" s="3">
        <v>68.430000000000007</v>
      </c>
      <c r="F344" s="3">
        <f t="shared" si="30"/>
        <v>2014</v>
      </c>
      <c r="G344" s="3" t="str">
        <f t="shared" si="31"/>
        <v>Sep</v>
      </c>
      <c r="H344" s="3" t="str">
        <f t="shared" si="32"/>
        <v>Q3</v>
      </c>
      <c r="I344" s="3">
        <f t="shared" si="33"/>
        <v>4.7914692949204453E-3</v>
      </c>
      <c r="J344" s="3">
        <f t="shared" si="34"/>
        <v>-2.5224556383793414E-3</v>
      </c>
      <c r="K344" s="3" t="str">
        <f t="shared" si="35"/>
        <v>Normal</v>
      </c>
      <c r="L344" s="4">
        <f>VALUE(A344)</f>
        <v>41891</v>
      </c>
    </row>
    <row r="345" spans="1:12">
      <c r="A345" s="5">
        <v>41892</v>
      </c>
      <c r="B345" s="3">
        <v>331.32998700000002</v>
      </c>
      <c r="C345" s="3">
        <v>72.554221999999996</v>
      </c>
      <c r="D345" s="3">
        <v>478.48998999999998</v>
      </c>
      <c r="E345" s="3">
        <v>69.198570000000004</v>
      </c>
      <c r="F345" s="3">
        <f t="shared" si="30"/>
        <v>2014</v>
      </c>
      <c r="G345" s="3" t="str">
        <f t="shared" si="31"/>
        <v>Sep</v>
      </c>
      <c r="H345" s="3" t="str">
        <f t="shared" si="32"/>
        <v>Q3</v>
      </c>
      <c r="I345" s="3">
        <f t="shared" si="33"/>
        <v>-2.4446866621825186E-3</v>
      </c>
      <c r="J345" s="3">
        <f t="shared" si="34"/>
        <v>-1.5882860997781523E-3</v>
      </c>
      <c r="K345" s="3" t="str">
        <f t="shared" si="35"/>
        <v>Normal</v>
      </c>
      <c r="L345" s="4">
        <f>VALUE(A345)</f>
        <v>41892</v>
      </c>
    </row>
    <row r="346" spans="1:12">
      <c r="A346" s="5">
        <v>41893</v>
      </c>
      <c r="B346" s="3">
        <v>330.51998900000001</v>
      </c>
      <c r="C346" s="3">
        <v>72.812072999999998</v>
      </c>
      <c r="D346" s="3">
        <v>477.73001099999999</v>
      </c>
      <c r="E346" s="3">
        <v>68.794289000000006</v>
      </c>
      <c r="F346" s="3">
        <f t="shared" si="30"/>
        <v>2014</v>
      </c>
      <c r="G346" s="3" t="str">
        <f t="shared" si="31"/>
        <v>Sep</v>
      </c>
      <c r="H346" s="3" t="str">
        <f t="shared" si="32"/>
        <v>Q3</v>
      </c>
      <c r="I346" s="3">
        <f t="shared" si="33"/>
        <v>2.027148197684295E-3</v>
      </c>
      <c r="J346" s="3">
        <f t="shared" si="34"/>
        <v>9.210265000496121E-4</v>
      </c>
      <c r="K346" s="3" t="str">
        <f t="shared" si="35"/>
        <v>Normal</v>
      </c>
      <c r="L346" s="4">
        <f>VALUE(A346)</f>
        <v>41893</v>
      </c>
    </row>
    <row r="347" spans="1:12">
      <c r="A347" s="5">
        <v>41894</v>
      </c>
      <c r="B347" s="3">
        <v>331.19000199999999</v>
      </c>
      <c r="C347" s="3">
        <v>72.611525999999998</v>
      </c>
      <c r="D347" s="3">
        <v>478.17001299999998</v>
      </c>
      <c r="E347" s="3">
        <v>68.078575000000001</v>
      </c>
      <c r="F347" s="3">
        <f t="shared" si="30"/>
        <v>2014</v>
      </c>
      <c r="G347" s="3" t="str">
        <f t="shared" si="31"/>
        <v>Sep</v>
      </c>
      <c r="H347" s="3" t="str">
        <f t="shared" si="32"/>
        <v>Q3</v>
      </c>
      <c r="I347" s="3">
        <f t="shared" si="33"/>
        <v>-2.2041688927554003E-2</v>
      </c>
      <c r="J347" s="3">
        <f t="shared" si="34"/>
        <v>-2.3882746072577295E-2</v>
      </c>
      <c r="K347" s="3" t="str">
        <f t="shared" si="35"/>
        <v>Normal</v>
      </c>
      <c r="L347" s="4">
        <f>VALUE(A347)</f>
        <v>41894</v>
      </c>
    </row>
    <row r="348" spans="1:12">
      <c r="A348" s="5">
        <v>41897</v>
      </c>
      <c r="B348" s="3">
        <v>323.89001500000001</v>
      </c>
      <c r="C348" s="3">
        <v>72.783432000000005</v>
      </c>
      <c r="D348" s="3">
        <v>466.75</v>
      </c>
      <c r="E348" s="3">
        <v>65.392859999999999</v>
      </c>
      <c r="F348" s="3">
        <f t="shared" si="30"/>
        <v>2014</v>
      </c>
      <c r="G348" s="3" t="str">
        <f t="shared" si="31"/>
        <v>Sep</v>
      </c>
      <c r="H348" s="3" t="str">
        <f t="shared" si="32"/>
        <v>Q3</v>
      </c>
      <c r="I348" s="3">
        <f t="shared" si="33"/>
        <v>1.1948485043603511E-2</v>
      </c>
      <c r="J348" s="3">
        <f t="shared" si="34"/>
        <v>-1.2126414568827027E-2</v>
      </c>
      <c r="K348" s="3" t="str">
        <f t="shared" si="35"/>
        <v>Normal</v>
      </c>
      <c r="L348" s="4">
        <f>VALUE(A348)</f>
        <v>41897</v>
      </c>
    </row>
    <row r="349" spans="1:12">
      <c r="A349" s="5">
        <v>41898</v>
      </c>
      <c r="B349" s="3">
        <v>327.76001000000002</v>
      </c>
      <c r="C349" s="3">
        <v>73.136818000000005</v>
      </c>
      <c r="D349" s="3">
        <v>461.08999599999999</v>
      </c>
      <c r="E349" s="3">
        <v>65.272857999999999</v>
      </c>
      <c r="F349" s="3">
        <f t="shared" si="30"/>
        <v>2014</v>
      </c>
      <c r="G349" s="3" t="str">
        <f t="shared" si="31"/>
        <v>Sep</v>
      </c>
      <c r="H349" s="3" t="str">
        <f t="shared" si="32"/>
        <v>Q3</v>
      </c>
      <c r="I349" s="3">
        <f t="shared" si="33"/>
        <v>-1.1471838800590781E-2</v>
      </c>
      <c r="J349" s="3">
        <f t="shared" si="34"/>
        <v>-7.9875916457749316E-2</v>
      </c>
      <c r="K349" s="3" t="str">
        <f t="shared" si="35"/>
        <v>High Volatility</v>
      </c>
      <c r="L349" s="4">
        <f>VALUE(A349)</f>
        <v>41898</v>
      </c>
    </row>
    <row r="350" spans="1:12">
      <c r="A350" s="5">
        <v>41899</v>
      </c>
      <c r="B350" s="3">
        <v>324</v>
      </c>
      <c r="C350" s="3">
        <v>73.127266000000006</v>
      </c>
      <c r="D350" s="3">
        <v>424.26001000000002</v>
      </c>
      <c r="E350" s="3">
        <v>64.932854000000006</v>
      </c>
      <c r="F350" s="3">
        <f t="shared" si="30"/>
        <v>2014</v>
      </c>
      <c r="G350" s="3" t="str">
        <f t="shared" si="31"/>
        <v>Sep</v>
      </c>
      <c r="H350" s="3" t="str">
        <f t="shared" si="32"/>
        <v>Q3</v>
      </c>
      <c r="I350" s="3">
        <f t="shared" si="33"/>
        <v>3.0864197530864196E-3</v>
      </c>
      <c r="J350" s="3">
        <f t="shared" si="34"/>
        <v>-6.2673823535713477E-2</v>
      </c>
      <c r="K350" s="3" t="str">
        <f t="shared" si="35"/>
        <v>High Volatility</v>
      </c>
      <c r="L350" s="4">
        <f>VALUE(A350)</f>
        <v>41899</v>
      </c>
    </row>
    <row r="351" spans="1:12">
      <c r="A351" s="5">
        <v>41900</v>
      </c>
      <c r="B351" s="3">
        <v>325</v>
      </c>
      <c r="C351" s="3">
        <v>73.289589000000007</v>
      </c>
      <c r="D351" s="3">
        <v>397.67001299999998</v>
      </c>
      <c r="E351" s="3">
        <v>65.572861000000003</v>
      </c>
      <c r="F351" s="3">
        <f t="shared" si="30"/>
        <v>2014</v>
      </c>
      <c r="G351" s="3" t="str">
        <f t="shared" si="31"/>
        <v>Sep</v>
      </c>
      <c r="H351" s="3" t="str">
        <f t="shared" si="32"/>
        <v>Q3</v>
      </c>
      <c r="I351" s="3">
        <f t="shared" si="33"/>
        <v>1.9446175384615308E-2</v>
      </c>
      <c r="J351" s="3">
        <f t="shared" si="34"/>
        <v>3.4852982490283957E-2</v>
      </c>
      <c r="K351" s="3" t="str">
        <f t="shared" si="35"/>
        <v>Normal</v>
      </c>
      <c r="L351" s="4">
        <f>VALUE(A351)</f>
        <v>41900</v>
      </c>
    </row>
    <row r="352" spans="1:12">
      <c r="A352" s="5">
        <v>41901</v>
      </c>
      <c r="B352" s="3">
        <v>331.32000699999998</v>
      </c>
      <c r="C352" s="3">
        <v>73.537918000000005</v>
      </c>
      <c r="D352" s="3">
        <v>411.52999899999998</v>
      </c>
      <c r="E352" s="3">
        <v>65.360000999999997</v>
      </c>
      <c r="F352" s="3">
        <f t="shared" si="30"/>
        <v>2014</v>
      </c>
      <c r="G352" s="3" t="str">
        <f t="shared" si="31"/>
        <v>Sep</v>
      </c>
      <c r="H352" s="3" t="str">
        <f t="shared" si="32"/>
        <v>Q3</v>
      </c>
      <c r="I352" s="3">
        <f t="shared" si="33"/>
        <v>-2.0584350041982148E-2</v>
      </c>
      <c r="J352" s="3">
        <f t="shared" si="34"/>
        <v>6.155076437088617E-2</v>
      </c>
      <c r="K352" s="3" t="str">
        <f t="shared" si="35"/>
        <v>High Volatility</v>
      </c>
      <c r="L352" s="4">
        <f>VALUE(A352)</f>
        <v>41901</v>
      </c>
    </row>
    <row r="353" spans="1:12">
      <c r="A353" s="5">
        <v>41904</v>
      </c>
      <c r="B353" s="3">
        <v>324.5</v>
      </c>
      <c r="C353" s="3">
        <v>72.449180999999996</v>
      </c>
      <c r="D353" s="3">
        <v>436.85998499999999</v>
      </c>
      <c r="E353" s="3">
        <v>63.254283999999998</v>
      </c>
      <c r="F353" s="3">
        <f t="shared" si="30"/>
        <v>2014</v>
      </c>
      <c r="G353" s="3" t="str">
        <f t="shared" si="31"/>
        <v>Sep</v>
      </c>
      <c r="H353" s="3" t="str">
        <f t="shared" si="32"/>
        <v>Q3</v>
      </c>
      <c r="I353" s="3">
        <f t="shared" si="33"/>
        <v>-2.6810323574730883E-3</v>
      </c>
      <c r="J353" s="3">
        <f t="shared" si="34"/>
        <v>-2.9963824679433582E-2</v>
      </c>
      <c r="K353" s="3" t="str">
        <f t="shared" si="35"/>
        <v>Normal</v>
      </c>
      <c r="L353" s="4">
        <f>VALUE(A353)</f>
        <v>41904</v>
      </c>
    </row>
    <row r="354" spans="1:12">
      <c r="A354" s="5">
        <v>41905</v>
      </c>
      <c r="B354" s="3">
        <v>323.63000499999998</v>
      </c>
      <c r="C354" s="3">
        <v>72.420524999999998</v>
      </c>
      <c r="D354" s="3">
        <v>423.76998900000001</v>
      </c>
      <c r="E354" s="3">
        <v>63.414287999999999</v>
      </c>
      <c r="F354" s="3">
        <f t="shared" si="30"/>
        <v>2014</v>
      </c>
      <c r="G354" s="3" t="str">
        <f t="shared" si="31"/>
        <v>Sep</v>
      </c>
      <c r="H354" s="3" t="str">
        <f t="shared" si="32"/>
        <v>Q3</v>
      </c>
      <c r="I354" s="3">
        <f t="shared" si="33"/>
        <v>1.4151920184285816E-2</v>
      </c>
      <c r="J354" s="3">
        <f t="shared" si="34"/>
        <v>-2.7090120343562157E-2</v>
      </c>
      <c r="K354" s="3" t="str">
        <f t="shared" si="35"/>
        <v>Normal</v>
      </c>
      <c r="L354" s="4">
        <f>VALUE(A354)</f>
        <v>41905</v>
      </c>
    </row>
    <row r="355" spans="1:12">
      <c r="A355" s="5">
        <v>41906</v>
      </c>
      <c r="B355" s="3">
        <v>328.209991</v>
      </c>
      <c r="C355" s="3">
        <v>72.926704000000001</v>
      </c>
      <c r="D355" s="3">
        <v>412.290009</v>
      </c>
      <c r="E355" s="3">
        <v>64.365714999999994</v>
      </c>
      <c r="F355" s="3">
        <f t="shared" si="30"/>
        <v>2014</v>
      </c>
      <c r="G355" s="3" t="str">
        <f t="shared" si="31"/>
        <v>Sep</v>
      </c>
      <c r="H355" s="3" t="str">
        <f t="shared" si="32"/>
        <v>Q3</v>
      </c>
      <c r="I355" s="3">
        <f t="shared" si="33"/>
        <v>-1.9134085409362137E-2</v>
      </c>
      <c r="J355" s="3">
        <f t="shared" si="34"/>
        <v>-1.8991529819001738E-2</v>
      </c>
      <c r="K355" s="3" t="str">
        <f t="shared" si="35"/>
        <v>Normal</v>
      </c>
      <c r="L355" s="4">
        <f>VALUE(A355)</f>
        <v>41906</v>
      </c>
    </row>
    <row r="356" spans="1:12">
      <c r="A356" s="5">
        <v>41907</v>
      </c>
      <c r="B356" s="3">
        <v>321.92999300000002</v>
      </c>
      <c r="C356" s="3">
        <v>72.869392000000005</v>
      </c>
      <c r="D356" s="3">
        <v>404.459991</v>
      </c>
      <c r="E356" s="3">
        <v>63.355713000000002</v>
      </c>
      <c r="F356" s="3">
        <f t="shared" si="30"/>
        <v>2014</v>
      </c>
      <c r="G356" s="3" t="str">
        <f t="shared" si="31"/>
        <v>Sep</v>
      </c>
      <c r="H356" s="3" t="str">
        <f t="shared" si="32"/>
        <v>Q3</v>
      </c>
      <c r="I356" s="3">
        <f t="shared" si="33"/>
        <v>3.9760135055200577E-3</v>
      </c>
      <c r="J356" s="3">
        <f t="shared" si="34"/>
        <v>-1.3450037385774438E-2</v>
      </c>
      <c r="K356" s="3" t="str">
        <f t="shared" si="35"/>
        <v>Normal</v>
      </c>
      <c r="L356" s="4">
        <f>VALUE(A356)</f>
        <v>41907</v>
      </c>
    </row>
    <row r="357" spans="1:12">
      <c r="A357" s="5">
        <v>41908</v>
      </c>
      <c r="B357" s="3">
        <v>323.209991</v>
      </c>
      <c r="C357" s="3">
        <v>73.795760999999999</v>
      </c>
      <c r="D357" s="3">
        <v>399.01998900000001</v>
      </c>
      <c r="E357" s="3">
        <v>64.107140000000001</v>
      </c>
      <c r="F357" s="3">
        <f t="shared" si="30"/>
        <v>2014</v>
      </c>
      <c r="G357" s="3" t="str">
        <f t="shared" si="31"/>
        <v>Sep</v>
      </c>
      <c r="H357" s="3" t="str">
        <f t="shared" si="32"/>
        <v>Q3</v>
      </c>
      <c r="I357" s="3">
        <f t="shared" si="33"/>
        <v>-4.3005601271775872E-3</v>
      </c>
      <c r="J357" s="3">
        <f t="shared" si="34"/>
        <v>-2.7191560069939318E-2</v>
      </c>
      <c r="K357" s="3" t="str">
        <f t="shared" si="35"/>
        <v>Normal</v>
      </c>
      <c r="L357" s="4">
        <f>VALUE(A357)</f>
        <v>41908</v>
      </c>
    </row>
    <row r="358" spans="1:12">
      <c r="A358" s="5">
        <v>41911</v>
      </c>
      <c r="B358" s="3">
        <v>321.82000699999998</v>
      </c>
      <c r="C358" s="3">
        <v>74.139595</v>
      </c>
      <c r="D358" s="3">
        <v>388.17001299999998</v>
      </c>
      <c r="E358" s="3">
        <v>64.222854999999996</v>
      </c>
      <c r="F358" s="3">
        <f t="shared" si="30"/>
        <v>2014</v>
      </c>
      <c r="G358" s="3" t="str">
        <f t="shared" si="31"/>
        <v>Sep</v>
      </c>
      <c r="H358" s="3" t="str">
        <f t="shared" si="32"/>
        <v>Q3</v>
      </c>
      <c r="I358" s="3">
        <f t="shared" si="33"/>
        <v>1.9265272093540698E-3</v>
      </c>
      <c r="J358" s="3">
        <f t="shared" si="34"/>
        <v>-1.3731140535062398E-2</v>
      </c>
      <c r="K358" s="3" t="str">
        <f t="shared" si="35"/>
        <v>Normal</v>
      </c>
      <c r="L358" s="4">
        <f>VALUE(A358)</f>
        <v>41911</v>
      </c>
    </row>
    <row r="359" spans="1:12">
      <c r="A359" s="5">
        <v>41912</v>
      </c>
      <c r="B359" s="3">
        <v>322.44000199999999</v>
      </c>
      <c r="C359" s="3">
        <v>73.499709999999993</v>
      </c>
      <c r="D359" s="3">
        <v>382.83999599999999</v>
      </c>
      <c r="E359" s="3">
        <v>64.454284999999999</v>
      </c>
      <c r="F359" s="3">
        <f t="shared" si="30"/>
        <v>2014</v>
      </c>
      <c r="G359" s="3" t="str">
        <f t="shared" si="31"/>
        <v>Sep</v>
      </c>
      <c r="H359" s="3" t="str">
        <f t="shared" si="32"/>
        <v>Q3</v>
      </c>
      <c r="I359" s="3">
        <f t="shared" si="33"/>
        <v>-1.5444767923056862E-2</v>
      </c>
      <c r="J359" s="3">
        <f t="shared" si="34"/>
        <v>-2.0112791454527077E-2</v>
      </c>
      <c r="K359" s="3" t="str">
        <f t="shared" si="35"/>
        <v>Normal</v>
      </c>
      <c r="L359" s="4">
        <f>VALUE(A359)</f>
        <v>41912</v>
      </c>
    </row>
    <row r="360" spans="1:12">
      <c r="A360" s="5">
        <v>41913</v>
      </c>
      <c r="B360" s="3">
        <v>317.459991</v>
      </c>
      <c r="C360" s="3">
        <v>73.633414999999999</v>
      </c>
      <c r="D360" s="3">
        <v>375.14001500000001</v>
      </c>
      <c r="E360" s="3">
        <v>62.685715000000002</v>
      </c>
      <c r="F360" s="3">
        <f t="shared" si="30"/>
        <v>2014</v>
      </c>
      <c r="G360" s="3" t="str">
        <f t="shared" si="31"/>
        <v>Oct</v>
      </c>
      <c r="H360" s="3" t="str">
        <f t="shared" si="32"/>
        <v>Q4</v>
      </c>
      <c r="I360" s="3">
        <f t="shared" si="33"/>
        <v>2.9925440273826905E-3</v>
      </c>
      <c r="J360" s="3">
        <f t="shared" si="34"/>
        <v>-3.1161706383148677E-2</v>
      </c>
      <c r="K360" s="3" t="str">
        <f t="shared" si="35"/>
        <v>Normal</v>
      </c>
      <c r="L360" s="4">
        <f>VALUE(A360)</f>
        <v>41913</v>
      </c>
    </row>
    <row r="361" spans="1:12">
      <c r="A361" s="5">
        <v>41914</v>
      </c>
      <c r="B361" s="3">
        <v>318.41000400000001</v>
      </c>
      <c r="C361" s="3">
        <v>74.091835000000003</v>
      </c>
      <c r="D361" s="3">
        <v>363.45001200000002</v>
      </c>
      <c r="E361" s="3">
        <v>64.282859999999999</v>
      </c>
      <c r="F361" s="3">
        <f t="shared" si="30"/>
        <v>2014</v>
      </c>
      <c r="G361" s="3" t="str">
        <f t="shared" si="31"/>
        <v>Oct</v>
      </c>
      <c r="H361" s="3" t="str">
        <f t="shared" si="32"/>
        <v>Q4</v>
      </c>
      <c r="I361" s="3">
        <f t="shared" si="33"/>
        <v>1.3598774993262971E-2</v>
      </c>
      <c r="J361" s="3">
        <f t="shared" si="34"/>
        <v>-7.7397177249233493E-2</v>
      </c>
      <c r="K361" s="3" t="str">
        <f t="shared" si="35"/>
        <v>High Volatility</v>
      </c>
      <c r="L361" s="4">
        <f>VALUE(A361)</f>
        <v>41914</v>
      </c>
    </row>
    <row r="362" spans="1:12">
      <c r="A362" s="5">
        <v>41915</v>
      </c>
      <c r="B362" s="3">
        <v>322.73998999999998</v>
      </c>
      <c r="C362" s="3">
        <v>74.206435999999997</v>
      </c>
      <c r="D362" s="3">
        <v>335.32000699999998</v>
      </c>
      <c r="E362" s="3">
        <v>65.648574999999994</v>
      </c>
      <c r="F362" s="3">
        <f t="shared" si="30"/>
        <v>2014</v>
      </c>
      <c r="G362" s="3" t="str">
        <f t="shared" si="31"/>
        <v>Oct</v>
      </c>
      <c r="H362" s="3" t="str">
        <f t="shared" si="32"/>
        <v>Q4</v>
      </c>
      <c r="I362" s="3">
        <f t="shared" si="33"/>
        <v>-1.6731053378292611E-3</v>
      </c>
      <c r="J362" s="3">
        <f t="shared" si="34"/>
        <v>-1.0944807716170612E-2</v>
      </c>
      <c r="K362" s="3" t="str">
        <f t="shared" si="35"/>
        <v>Normal</v>
      </c>
      <c r="L362" s="4">
        <f>VALUE(A362)</f>
        <v>41915</v>
      </c>
    </row>
    <row r="363" spans="1:12">
      <c r="A363" s="5">
        <v>41918</v>
      </c>
      <c r="B363" s="3">
        <v>322.20001200000002</v>
      </c>
      <c r="C363" s="3">
        <v>74.349693000000002</v>
      </c>
      <c r="D363" s="3">
        <v>331.64999399999999</v>
      </c>
      <c r="E363" s="3">
        <v>66.211426000000003</v>
      </c>
      <c r="F363" s="3">
        <f t="shared" si="30"/>
        <v>2014</v>
      </c>
      <c r="G363" s="3" t="str">
        <f t="shared" si="31"/>
        <v>Oct</v>
      </c>
      <c r="H363" s="3" t="str">
        <f t="shared" si="32"/>
        <v>Q4</v>
      </c>
      <c r="I363" s="3">
        <f t="shared" si="33"/>
        <v>-1.620111981870449E-2</v>
      </c>
      <c r="J363" s="3">
        <f t="shared" si="34"/>
        <v>5.795266500140514E-2</v>
      </c>
      <c r="K363" s="3" t="str">
        <f t="shared" si="35"/>
        <v>High Volatility</v>
      </c>
      <c r="L363" s="4">
        <f>VALUE(A363)</f>
        <v>41918</v>
      </c>
    </row>
    <row r="364" spans="1:12">
      <c r="A364" s="5">
        <v>41919</v>
      </c>
      <c r="B364" s="3">
        <v>316.98001099999999</v>
      </c>
      <c r="C364" s="3">
        <v>73.356444999999994</v>
      </c>
      <c r="D364" s="3">
        <v>350.86999500000002</v>
      </c>
      <c r="E364" s="3">
        <v>65.178573999999998</v>
      </c>
      <c r="F364" s="3">
        <f t="shared" si="30"/>
        <v>2014</v>
      </c>
      <c r="G364" s="3" t="str">
        <f t="shared" si="31"/>
        <v>Oct</v>
      </c>
      <c r="H364" s="3" t="str">
        <f t="shared" si="32"/>
        <v>Q4</v>
      </c>
      <c r="I364" s="3">
        <f t="shared" si="33"/>
        <v>1.8045305071303138E-2</v>
      </c>
      <c r="J364" s="3">
        <f t="shared" si="34"/>
        <v>2.8614612657317698E-2</v>
      </c>
      <c r="K364" s="3" t="str">
        <f t="shared" si="35"/>
        <v>Normal</v>
      </c>
      <c r="L364" s="4">
        <f>VALUE(A364)</f>
        <v>41919</v>
      </c>
    </row>
    <row r="365" spans="1:12">
      <c r="A365" s="5">
        <v>41920</v>
      </c>
      <c r="B365" s="3">
        <v>322.70001200000002</v>
      </c>
      <c r="C365" s="3">
        <v>74.416550000000001</v>
      </c>
      <c r="D365" s="3">
        <v>360.91000400000001</v>
      </c>
      <c r="E365" s="3">
        <v>66.694282999999999</v>
      </c>
      <c r="F365" s="3">
        <f t="shared" si="30"/>
        <v>2014</v>
      </c>
      <c r="G365" s="3" t="str">
        <f t="shared" si="31"/>
        <v>Oct</v>
      </c>
      <c r="H365" s="3" t="str">
        <f t="shared" si="32"/>
        <v>Q4</v>
      </c>
      <c r="I365" s="3">
        <f t="shared" si="33"/>
        <v>-2.2714647435463985E-2</v>
      </c>
      <c r="J365" s="3">
        <f t="shared" si="34"/>
        <v>2.2165830570880693E-3</v>
      </c>
      <c r="K365" s="3" t="str">
        <f t="shared" si="35"/>
        <v>Normal</v>
      </c>
      <c r="L365" s="4">
        <f>VALUE(A365)</f>
        <v>41920</v>
      </c>
    </row>
    <row r="366" spans="1:12">
      <c r="A366" s="5">
        <v>41921</v>
      </c>
      <c r="B366" s="3">
        <v>315.36999500000002</v>
      </c>
      <c r="C366" s="3">
        <v>73.251403999999994</v>
      </c>
      <c r="D366" s="3">
        <v>361.709991</v>
      </c>
      <c r="E366" s="3">
        <v>65.945717000000002</v>
      </c>
      <c r="F366" s="3">
        <f t="shared" si="30"/>
        <v>2014</v>
      </c>
      <c r="G366" s="3" t="str">
        <f t="shared" si="31"/>
        <v>Oct</v>
      </c>
      <c r="H366" s="3" t="str">
        <f t="shared" si="32"/>
        <v>Q4</v>
      </c>
      <c r="I366" s="3">
        <f t="shared" si="33"/>
        <v>-1.2620033811396711E-2</v>
      </c>
      <c r="J366" s="3">
        <f t="shared" si="34"/>
        <v>-1.3546487854685151E-3</v>
      </c>
      <c r="K366" s="3" t="str">
        <f t="shared" si="35"/>
        <v>Normal</v>
      </c>
      <c r="L366" s="4">
        <f>VALUE(A366)</f>
        <v>41921</v>
      </c>
    </row>
    <row r="367" spans="1:12">
      <c r="A367" s="5">
        <v>41922</v>
      </c>
      <c r="B367" s="3">
        <v>311.39001500000001</v>
      </c>
      <c r="C367" s="3">
        <v>72.974449000000007</v>
      </c>
      <c r="D367" s="3">
        <v>361.22000100000002</v>
      </c>
      <c r="E367" s="3">
        <v>64.582854999999995</v>
      </c>
      <c r="F367" s="3">
        <f t="shared" si="30"/>
        <v>2014</v>
      </c>
      <c r="G367" s="3" t="str">
        <f t="shared" si="31"/>
        <v>Oct</v>
      </c>
      <c r="H367" s="3" t="str">
        <f t="shared" si="32"/>
        <v>Q4</v>
      </c>
      <c r="I367" s="3">
        <f t="shared" si="33"/>
        <v>-1.5864359041827304E-2</v>
      </c>
      <c r="J367" s="3">
        <f t="shared" si="34"/>
        <v>9.933006173708521E-2</v>
      </c>
      <c r="K367" s="3" t="str">
        <f t="shared" si="35"/>
        <v>High Volatility</v>
      </c>
      <c r="L367" s="4">
        <f>VALUE(A367)</f>
        <v>41922</v>
      </c>
    </row>
    <row r="368" spans="1:12">
      <c r="A368" s="5">
        <v>41925</v>
      </c>
      <c r="B368" s="3">
        <v>306.45001200000002</v>
      </c>
      <c r="C368" s="3">
        <v>72.315483</v>
      </c>
      <c r="D368" s="3">
        <v>397.10000600000001</v>
      </c>
      <c r="E368" s="3">
        <v>62.654285000000002</v>
      </c>
      <c r="F368" s="3">
        <f t="shared" si="30"/>
        <v>2014</v>
      </c>
      <c r="G368" s="3" t="str">
        <f t="shared" si="31"/>
        <v>Oct</v>
      </c>
      <c r="H368" s="3" t="str">
        <f t="shared" si="32"/>
        <v>Q4</v>
      </c>
      <c r="I368" s="3">
        <f t="shared" si="33"/>
        <v>6.0694597068574824E-3</v>
      </c>
      <c r="J368" s="3">
        <f t="shared" si="34"/>
        <v>-9.8967336706613507E-3</v>
      </c>
      <c r="K368" s="3" t="str">
        <f t="shared" si="35"/>
        <v>Normal</v>
      </c>
      <c r="L368" s="4">
        <f>VALUE(A368)</f>
        <v>41925</v>
      </c>
    </row>
    <row r="369" spans="1:12">
      <c r="A369" s="5">
        <v>41926</v>
      </c>
      <c r="B369" s="3">
        <v>308.30999800000001</v>
      </c>
      <c r="C369" s="3">
        <v>80.509697000000003</v>
      </c>
      <c r="D369" s="3">
        <v>393.17001299999998</v>
      </c>
      <c r="E369" s="3">
        <v>64.160004000000001</v>
      </c>
      <c r="F369" s="3">
        <f t="shared" si="30"/>
        <v>2014</v>
      </c>
      <c r="G369" s="3" t="str">
        <f t="shared" si="31"/>
        <v>Oct</v>
      </c>
      <c r="H369" s="3" t="str">
        <f t="shared" si="32"/>
        <v>Q4</v>
      </c>
      <c r="I369" s="3">
        <f t="shared" si="33"/>
        <v>-7.589753868442445E-3</v>
      </c>
      <c r="J369" s="3">
        <f t="shared" si="34"/>
        <v>-3.4082009199414641E-2</v>
      </c>
      <c r="K369" s="3" t="str">
        <f t="shared" si="35"/>
        <v>Normal</v>
      </c>
      <c r="L369" s="4">
        <f>VALUE(A369)</f>
        <v>41926</v>
      </c>
    </row>
    <row r="370" spans="1:12">
      <c r="A370" s="5">
        <v>41927</v>
      </c>
      <c r="B370" s="3">
        <v>305.97000100000002</v>
      </c>
      <c r="C370" s="3">
        <v>79.888930999999999</v>
      </c>
      <c r="D370" s="3">
        <v>379.76998900000001</v>
      </c>
      <c r="E370" s="3">
        <v>64.084282000000002</v>
      </c>
      <c r="F370" s="3">
        <f t="shared" si="30"/>
        <v>2014</v>
      </c>
      <c r="G370" s="3" t="str">
        <f t="shared" si="31"/>
        <v>Oct</v>
      </c>
      <c r="H370" s="3" t="str">
        <f t="shared" si="32"/>
        <v>Q4</v>
      </c>
      <c r="I370" s="3">
        <f t="shared" si="33"/>
        <v>-1.0164447461632128E-2</v>
      </c>
      <c r="J370" s="3">
        <f t="shared" si="34"/>
        <v>1.8696106079092543E-3</v>
      </c>
      <c r="K370" s="3" t="str">
        <f t="shared" si="35"/>
        <v>Normal</v>
      </c>
      <c r="L370" s="4">
        <f>VALUE(A370)</f>
        <v>41927</v>
      </c>
    </row>
    <row r="371" spans="1:12">
      <c r="A371" s="5">
        <v>41928</v>
      </c>
      <c r="B371" s="3">
        <v>302.85998499999999</v>
      </c>
      <c r="C371" s="3">
        <v>80.156341999999995</v>
      </c>
      <c r="D371" s="3">
        <v>380.48001099999999</v>
      </c>
      <c r="E371" s="3">
        <v>51.671429000000003</v>
      </c>
      <c r="F371" s="3">
        <f t="shared" si="30"/>
        <v>2014</v>
      </c>
      <c r="G371" s="3" t="str">
        <f t="shared" si="31"/>
        <v>Oct</v>
      </c>
      <c r="H371" s="3" t="str">
        <f t="shared" si="32"/>
        <v>Q4</v>
      </c>
      <c r="I371" s="3">
        <f t="shared" si="33"/>
        <v>2.5755465846701757E-3</v>
      </c>
      <c r="J371" s="3">
        <f t="shared" si="34"/>
        <v>2.7333877468795575E-2</v>
      </c>
      <c r="K371" s="3" t="str">
        <f t="shared" si="35"/>
        <v>Normal</v>
      </c>
      <c r="L371" s="4">
        <f>VALUE(A371)</f>
        <v>41928</v>
      </c>
    </row>
    <row r="372" spans="1:12">
      <c r="A372" s="5">
        <v>41929</v>
      </c>
      <c r="B372" s="3">
        <v>303.64001500000001</v>
      </c>
      <c r="C372" s="3">
        <v>81.025390999999999</v>
      </c>
      <c r="D372" s="3">
        <v>390.88000499999998</v>
      </c>
      <c r="E372" s="3">
        <v>51.012855999999999</v>
      </c>
      <c r="F372" s="3">
        <f t="shared" si="30"/>
        <v>2014</v>
      </c>
      <c r="G372" s="3" t="str">
        <f t="shared" si="31"/>
        <v>Oct</v>
      </c>
      <c r="H372" s="3" t="str">
        <f t="shared" si="32"/>
        <v>Q4</v>
      </c>
      <c r="I372" s="3">
        <f t="shared" si="33"/>
        <v>8.4638910322804347E-3</v>
      </c>
      <c r="J372" s="3">
        <f t="shared" si="34"/>
        <v>-2.1822551399117936E-2</v>
      </c>
      <c r="K372" s="3" t="str">
        <f t="shared" si="35"/>
        <v>Normal</v>
      </c>
      <c r="L372" s="4">
        <f>VALUE(A372)</f>
        <v>41929</v>
      </c>
    </row>
    <row r="373" spans="1:12">
      <c r="A373" s="5">
        <v>41932</v>
      </c>
      <c r="B373" s="3">
        <v>306.209991</v>
      </c>
      <c r="C373" s="3">
        <v>82.133255000000005</v>
      </c>
      <c r="D373" s="3">
        <v>382.35000600000001</v>
      </c>
      <c r="E373" s="3">
        <v>51.317141999999997</v>
      </c>
      <c r="F373" s="3">
        <f t="shared" si="30"/>
        <v>2014</v>
      </c>
      <c r="G373" s="3" t="str">
        <f t="shared" si="31"/>
        <v>Oct</v>
      </c>
      <c r="H373" s="3" t="str">
        <f t="shared" si="32"/>
        <v>Q4</v>
      </c>
      <c r="I373" s="3">
        <f t="shared" si="33"/>
        <v>2.9783469736622718E-2</v>
      </c>
      <c r="J373" s="3">
        <f t="shared" si="34"/>
        <v>-8.9447180497755317E-3</v>
      </c>
      <c r="K373" s="3" t="str">
        <f t="shared" si="35"/>
        <v>Normal</v>
      </c>
      <c r="L373" s="4">
        <f>VALUE(A373)</f>
        <v>41932</v>
      </c>
    </row>
    <row r="374" spans="1:12">
      <c r="A374" s="5">
        <v>41933</v>
      </c>
      <c r="B374" s="3">
        <v>315.32998700000002</v>
      </c>
      <c r="C374" s="3">
        <v>82.123711</v>
      </c>
      <c r="D374" s="3">
        <v>378.92999300000002</v>
      </c>
      <c r="E374" s="3">
        <v>52.284286000000002</v>
      </c>
      <c r="F374" s="3">
        <f t="shared" si="30"/>
        <v>2014</v>
      </c>
      <c r="G374" s="3" t="str">
        <f t="shared" si="31"/>
        <v>Oct</v>
      </c>
      <c r="H374" s="3" t="str">
        <f t="shared" si="32"/>
        <v>Q4</v>
      </c>
      <c r="I374" s="3">
        <f t="shared" si="33"/>
        <v>-7.4841787882355508E-3</v>
      </c>
      <c r="J374" s="3">
        <f t="shared" si="34"/>
        <v>-6.1093063171697916E-2</v>
      </c>
      <c r="K374" s="3" t="str">
        <f t="shared" si="35"/>
        <v>High Volatility</v>
      </c>
      <c r="L374" s="4">
        <f>VALUE(A374)</f>
        <v>41933</v>
      </c>
    </row>
    <row r="375" spans="1:12">
      <c r="A375" s="5">
        <v>41934</v>
      </c>
      <c r="B375" s="3">
        <v>312.97000100000002</v>
      </c>
      <c r="C375" s="3">
        <v>82.563011000000003</v>
      </c>
      <c r="D375" s="3">
        <v>355.77999899999998</v>
      </c>
      <c r="E375" s="3">
        <v>53.521427000000003</v>
      </c>
      <c r="F375" s="3">
        <f t="shared" si="30"/>
        <v>2014</v>
      </c>
      <c r="G375" s="3" t="str">
        <f t="shared" si="31"/>
        <v>Oct</v>
      </c>
      <c r="H375" s="3" t="str">
        <f t="shared" si="32"/>
        <v>Q4</v>
      </c>
      <c r="I375" s="3">
        <f t="shared" si="33"/>
        <v>6.7096526609270683E-4</v>
      </c>
      <c r="J375" s="3">
        <f t="shared" si="34"/>
        <v>-1.9112738262725322E-3</v>
      </c>
      <c r="K375" s="3" t="str">
        <f t="shared" si="35"/>
        <v>Normal</v>
      </c>
      <c r="L375" s="4">
        <f>VALUE(A375)</f>
        <v>41934</v>
      </c>
    </row>
    <row r="376" spans="1:12">
      <c r="A376" s="5">
        <v>41935</v>
      </c>
      <c r="B376" s="3">
        <v>313.17999300000002</v>
      </c>
      <c r="C376" s="3">
        <v>83.374802000000003</v>
      </c>
      <c r="D376" s="3">
        <v>355.10000600000001</v>
      </c>
      <c r="E376" s="3">
        <v>54.720001000000003</v>
      </c>
      <c r="F376" s="3">
        <f t="shared" si="30"/>
        <v>2014</v>
      </c>
      <c r="G376" s="3" t="str">
        <f t="shared" si="31"/>
        <v>Oct</v>
      </c>
      <c r="H376" s="3" t="str">
        <f t="shared" si="32"/>
        <v>Q4</v>
      </c>
      <c r="I376" s="3">
        <f t="shared" si="33"/>
        <v>-8.3402502023812275E-2</v>
      </c>
      <c r="J376" s="3">
        <f t="shared" si="34"/>
        <v>-2.3598999882866751E-2</v>
      </c>
      <c r="K376" s="3" t="str">
        <f t="shared" si="35"/>
        <v>Normal</v>
      </c>
      <c r="L376" s="4">
        <f>VALUE(A376)</f>
        <v>41935</v>
      </c>
    </row>
    <row r="377" spans="1:12">
      <c r="A377" s="5">
        <v>41936</v>
      </c>
      <c r="B377" s="3">
        <v>287.05999800000001</v>
      </c>
      <c r="C377" s="3">
        <v>83.737724</v>
      </c>
      <c r="D377" s="3">
        <v>346.72000100000002</v>
      </c>
      <c r="E377" s="3">
        <v>55.002856999999999</v>
      </c>
      <c r="F377" s="3">
        <f t="shared" si="30"/>
        <v>2014</v>
      </c>
      <c r="G377" s="3" t="str">
        <f t="shared" si="31"/>
        <v>Oct</v>
      </c>
      <c r="H377" s="3" t="str">
        <f t="shared" si="32"/>
        <v>Q4</v>
      </c>
      <c r="I377" s="3">
        <f t="shared" si="33"/>
        <v>1.0137264057251256E-2</v>
      </c>
      <c r="J377" s="3">
        <f t="shared" si="34"/>
        <v>9.7196440651831917E-3</v>
      </c>
      <c r="K377" s="3" t="str">
        <f t="shared" si="35"/>
        <v>Normal</v>
      </c>
      <c r="L377" s="4">
        <f>VALUE(A377)</f>
        <v>41936</v>
      </c>
    </row>
    <row r="378" spans="1:12">
      <c r="A378" s="5">
        <v>41939</v>
      </c>
      <c r="B378" s="3">
        <v>289.97000100000002</v>
      </c>
      <c r="C378" s="3">
        <v>84.291634000000002</v>
      </c>
      <c r="D378" s="3">
        <v>350.08999599999999</v>
      </c>
      <c r="E378" s="3">
        <v>54.200001</v>
      </c>
      <c r="F378" s="3">
        <f t="shared" si="30"/>
        <v>2014</v>
      </c>
      <c r="G378" s="3" t="str">
        <f t="shared" si="31"/>
        <v>Oct</v>
      </c>
      <c r="H378" s="3" t="str">
        <f t="shared" si="32"/>
        <v>Q4</v>
      </c>
      <c r="I378" s="3">
        <f t="shared" si="33"/>
        <v>1.9381297998477987E-2</v>
      </c>
      <c r="J378" s="3">
        <f t="shared" si="34"/>
        <v>2.7707218460479009E-3</v>
      </c>
      <c r="K378" s="3" t="str">
        <f t="shared" si="35"/>
        <v>Normal</v>
      </c>
      <c r="L378" s="4">
        <f>VALUE(A378)</f>
        <v>41939</v>
      </c>
    </row>
    <row r="379" spans="1:12">
      <c r="A379" s="5">
        <v>41940</v>
      </c>
      <c r="B379" s="3">
        <v>295.58999599999999</v>
      </c>
      <c r="C379" s="3">
        <v>84.998367000000002</v>
      </c>
      <c r="D379" s="3">
        <v>351.05999800000001</v>
      </c>
      <c r="E379" s="3">
        <v>55.174286000000002</v>
      </c>
      <c r="F379" s="3">
        <f t="shared" si="30"/>
        <v>2014</v>
      </c>
      <c r="G379" s="3" t="str">
        <f t="shared" si="31"/>
        <v>Oct</v>
      </c>
      <c r="H379" s="3" t="str">
        <f t="shared" si="32"/>
        <v>Q4</v>
      </c>
      <c r="I379" s="3">
        <f t="shared" si="33"/>
        <v>-4.9731080885429156E-3</v>
      </c>
      <c r="J379" s="3">
        <f t="shared" si="34"/>
        <v>-4.5405352620095409E-2</v>
      </c>
      <c r="K379" s="3" t="str">
        <f t="shared" si="35"/>
        <v>Normal</v>
      </c>
      <c r="L379" s="4">
        <f>VALUE(A379)</f>
        <v>41940</v>
      </c>
    </row>
    <row r="380" spans="1:12">
      <c r="A380" s="5">
        <v>41941</v>
      </c>
      <c r="B380" s="3">
        <v>294.11999500000002</v>
      </c>
      <c r="C380" s="3">
        <v>84.979270999999997</v>
      </c>
      <c r="D380" s="3">
        <v>335.11999500000002</v>
      </c>
      <c r="E380" s="3">
        <v>54.014285999999998</v>
      </c>
      <c r="F380" s="3">
        <f t="shared" si="30"/>
        <v>2014</v>
      </c>
      <c r="G380" s="3" t="str">
        <f t="shared" si="31"/>
        <v>Oct</v>
      </c>
      <c r="H380" s="3" t="str">
        <f t="shared" si="32"/>
        <v>Q4</v>
      </c>
      <c r="I380" s="3">
        <f t="shared" si="33"/>
        <v>1.6829906446856693E-2</v>
      </c>
      <c r="J380" s="3">
        <f t="shared" si="34"/>
        <v>2.9064186396875476E-2</v>
      </c>
      <c r="K380" s="3" t="str">
        <f t="shared" si="35"/>
        <v>Normal</v>
      </c>
      <c r="L380" s="4">
        <f>VALUE(A380)</f>
        <v>41941</v>
      </c>
    </row>
    <row r="381" spans="1:12">
      <c r="A381" s="5">
        <v>41942</v>
      </c>
      <c r="B381" s="3">
        <v>299.07000699999998</v>
      </c>
      <c r="C381" s="3">
        <v>84.883765999999994</v>
      </c>
      <c r="D381" s="3">
        <v>344.85998499999999</v>
      </c>
      <c r="E381" s="3">
        <v>54.144286999999998</v>
      </c>
      <c r="F381" s="3">
        <f t="shared" si="30"/>
        <v>2014</v>
      </c>
      <c r="G381" s="3" t="str">
        <f t="shared" si="31"/>
        <v>Oct</v>
      </c>
      <c r="H381" s="3" t="str">
        <f t="shared" si="32"/>
        <v>Q4</v>
      </c>
      <c r="I381" s="3">
        <f t="shared" si="33"/>
        <v>2.136618133024629E-2</v>
      </c>
      <c r="J381" s="3">
        <f t="shared" si="34"/>
        <v>-2.0269066589444922E-2</v>
      </c>
      <c r="K381" s="3" t="str">
        <f t="shared" si="35"/>
        <v>Normal</v>
      </c>
      <c r="L381" s="4">
        <f>VALUE(A381)</f>
        <v>41942</v>
      </c>
    </row>
    <row r="382" spans="1:12">
      <c r="A382" s="5">
        <v>41943</v>
      </c>
      <c r="B382" s="3">
        <v>305.459991</v>
      </c>
      <c r="C382" s="3">
        <v>84.797805999999994</v>
      </c>
      <c r="D382" s="3">
        <v>337.86999500000002</v>
      </c>
      <c r="E382" s="3">
        <v>56.110000999999997</v>
      </c>
      <c r="F382" s="3">
        <f t="shared" si="30"/>
        <v>2014</v>
      </c>
      <c r="G382" s="3" t="str">
        <f t="shared" si="31"/>
        <v>Oct</v>
      </c>
      <c r="H382" s="3" t="str">
        <f t="shared" si="32"/>
        <v>Q4</v>
      </c>
      <c r="I382" s="3">
        <f t="shared" si="33"/>
        <v>8.5120803922246729E-4</v>
      </c>
      <c r="J382" s="3">
        <f t="shared" si="34"/>
        <v>-4.0340974936232614E-2</v>
      </c>
      <c r="K382" s="3" t="str">
        <f t="shared" si="35"/>
        <v>Normal</v>
      </c>
      <c r="L382" s="4">
        <f>VALUE(A382)</f>
        <v>41943</v>
      </c>
    </row>
    <row r="383" spans="1:12">
      <c r="A383" s="5">
        <v>41946</v>
      </c>
      <c r="B383" s="3">
        <v>305.72000100000002</v>
      </c>
      <c r="C383" s="3">
        <v>85.523643000000007</v>
      </c>
      <c r="D383" s="3">
        <v>324.23998999999998</v>
      </c>
      <c r="E383" s="3">
        <v>55.487144000000001</v>
      </c>
      <c r="F383" s="3">
        <f t="shared" si="30"/>
        <v>2014</v>
      </c>
      <c r="G383" s="3" t="str">
        <f t="shared" si="31"/>
        <v>Nov</v>
      </c>
      <c r="H383" s="3" t="str">
        <f t="shared" si="32"/>
        <v>Q4</v>
      </c>
      <c r="I383" s="3">
        <f t="shared" si="33"/>
        <v>-9.518523454407608E-3</v>
      </c>
      <c r="J383" s="3">
        <f t="shared" si="34"/>
        <v>1.1472986413551349E-2</v>
      </c>
      <c r="K383" s="3" t="str">
        <f t="shared" si="35"/>
        <v>Normal</v>
      </c>
      <c r="L383" s="4">
        <f>VALUE(A383)</f>
        <v>41946</v>
      </c>
    </row>
    <row r="384" spans="1:12">
      <c r="A384" s="5">
        <v>41947</v>
      </c>
      <c r="B384" s="3">
        <v>302.80999800000001</v>
      </c>
      <c r="C384" s="3">
        <v>86.192177000000001</v>
      </c>
      <c r="D384" s="3">
        <v>327.959991</v>
      </c>
      <c r="E384" s="3">
        <v>54.682858000000003</v>
      </c>
      <c r="F384" s="3">
        <f t="shared" si="30"/>
        <v>2014</v>
      </c>
      <c r="G384" s="3" t="str">
        <f t="shared" si="31"/>
        <v>Nov</v>
      </c>
      <c r="H384" s="3" t="str">
        <f t="shared" si="32"/>
        <v>Q4</v>
      </c>
      <c r="I384" s="3">
        <f t="shared" si="33"/>
        <v>-2.0772131176461345E-2</v>
      </c>
      <c r="J384" s="3">
        <f t="shared" si="34"/>
        <v>3.0644039748128973E-2</v>
      </c>
      <c r="K384" s="3" t="str">
        <f t="shared" si="35"/>
        <v>Normal</v>
      </c>
      <c r="L384" s="4">
        <f>VALUE(A384)</f>
        <v>41947</v>
      </c>
    </row>
    <row r="385" spans="1:12">
      <c r="A385" s="5">
        <v>41948</v>
      </c>
      <c r="B385" s="3">
        <v>296.51998900000001</v>
      </c>
      <c r="C385" s="3">
        <v>86.430923000000007</v>
      </c>
      <c r="D385" s="3">
        <v>338.01001000000002</v>
      </c>
      <c r="E385" s="3">
        <v>54.34</v>
      </c>
      <c r="F385" s="3">
        <f t="shared" si="30"/>
        <v>2014</v>
      </c>
      <c r="G385" s="3" t="str">
        <f t="shared" si="31"/>
        <v>Nov</v>
      </c>
      <c r="H385" s="3" t="str">
        <f t="shared" si="32"/>
        <v>Q4</v>
      </c>
      <c r="I385" s="3">
        <f t="shared" si="33"/>
        <v>4.0478215450087495E-4</v>
      </c>
      <c r="J385" s="3">
        <f t="shared" si="34"/>
        <v>2.8579044153159726E-2</v>
      </c>
      <c r="K385" s="3" t="str">
        <f t="shared" si="35"/>
        <v>Normal</v>
      </c>
      <c r="L385" s="4">
        <f>VALUE(A385)</f>
        <v>41948</v>
      </c>
    </row>
    <row r="386" spans="1:12">
      <c r="A386" s="5">
        <v>41949</v>
      </c>
      <c r="B386" s="3">
        <v>296.64001500000001</v>
      </c>
      <c r="C386" s="3">
        <v>86.765181999999996</v>
      </c>
      <c r="D386" s="3">
        <v>347.67001299999998</v>
      </c>
      <c r="E386" s="3">
        <v>54.757140999999997</v>
      </c>
      <c r="F386" s="3">
        <f t="shared" si="30"/>
        <v>2014</v>
      </c>
      <c r="G386" s="3" t="str">
        <f t="shared" si="31"/>
        <v>Nov</v>
      </c>
      <c r="H386" s="3" t="str">
        <f t="shared" si="32"/>
        <v>Q4</v>
      </c>
      <c r="I386" s="3">
        <f t="shared" si="33"/>
        <v>1.0854806624790622E-2</v>
      </c>
      <c r="J386" s="3">
        <f t="shared" si="34"/>
        <v>-1.6682537415155119E-2</v>
      </c>
      <c r="K386" s="3" t="str">
        <f t="shared" si="35"/>
        <v>Normal</v>
      </c>
      <c r="L386" s="4">
        <f>VALUE(A386)</f>
        <v>41949</v>
      </c>
    </row>
    <row r="387" spans="1:12">
      <c r="A387" s="5">
        <v>41950</v>
      </c>
      <c r="B387" s="3">
        <v>299.85998499999999</v>
      </c>
      <c r="C387" s="3">
        <v>86.717444999999998</v>
      </c>
      <c r="D387" s="3">
        <v>341.86999500000002</v>
      </c>
      <c r="E387" s="3">
        <v>54.880001</v>
      </c>
      <c r="F387" s="3">
        <f t="shared" ref="F387:F450" si="36">YEAR(A387)</f>
        <v>2014</v>
      </c>
      <c r="G387" s="3" t="str">
        <f t="shared" ref="G387:G450" si="37">TEXT(A387,"MMM")</f>
        <v>Nov</v>
      </c>
      <c r="H387" s="3" t="str">
        <f t="shared" ref="H387:H450" si="38">"Q"&amp;ROUNDUP(MONTH(A387)/3,0)</f>
        <v>Q4</v>
      </c>
      <c r="I387" s="3">
        <f t="shared" ref="I387:I450" si="39">(B388-B387)/B387</f>
        <v>1.750817135537441E-2</v>
      </c>
      <c r="J387" s="3">
        <f t="shared" ref="J387:J450" si="40">(D388-D387)/D387</f>
        <v>7.3946235030073276E-2</v>
      </c>
      <c r="K387" s="3" t="str">
        <f t="shared" ref="K387:K450" si="41">IF(J387="","",IF(ABS(J387)&gt;0.05,"High Volatility","Normal"))</f>
        <v>High Volatility</v>
      </c>
      <c r="L387" s="4">
        <f>VALUE(A387)</f>
        <v>41950</v>
      </c>
    </row>
    <row r="388" spans="1:12">
      <c r="A388" s="5">
        <v>41953</v>
      </c>
      <c r="B388" s="3">
        <v>305.10998499999999</v>
      </c>
      <c r="C388" s="3">
        <v>87.939896000000005</v>
      </c>
      <c r="D388" s="3">
        <v>367.14999399999999</v>
      </c>
      <c r="E388" s="3">
        <v>55.324286999999998</v>
      </c>
      <c r="F388" s="3">
        <f t="shared" si="36"/>
        <v>2014</v>
      </c>
      <c r="G388" s="3" t="str">
        <f t="shared" si="37"/>
        <v>Nov</v>
      </c>
      <c r="H388" s="3" t="str">
        <f t="shared" si="38"/>
        <v>Q4</v>
      </c>
      <c r="I388" s="3">
        <f t="shared" si="39"/>
        <v>2.2614877713687503E-2</v>
      </c>
      <c r="J388" s="3">
        <f t="shared" si="40"/>
        <v>-4.7119189112665742E-3</v>
      </c>
      <c r="K388" s="3" t="str">
        <f t="shared" si="41"/>
        <v>Normal</v>
      </c>
      <c r="L388" s="4">
        <f>VALUE(A388)</f>
        <v>41953</v>
      </c>
    </row>
    <row r="389" spans="1:12">
      <c r="A389" s="5">
        <v>41954</v>
      </c>
      <c r="B389" s="3">
        <v>312.01001000000002</v>
      </c>
      <c r="C389" s="3">
        <v>87.452843000000001</v>
      </c>
      <c r="D389" s="3">
        <v>365.42001299999998</v>
      </c>
      <c r="E389" s="3">
        <v>54.650002000000001</v>
      </c>
      <c r="F389" s="3">
        <f t="shared" si="36"/>
        <v>2014</v>
      </c>
      <c r="G389" s="3" t="str">
        <f t="shared" si="37"/>
        <v>Nov</v>
      </c>
      <c r="H389" s="3" t="str">
        <f t="shared" si="38"/>
        <v>Q4</v>
      </c>
      <c r="I389" s="3">
        <f t="shared" si="39"/>
        <v>-1.6025126886153426E-3</v>
      </c>
      <c r="J389" s="3">
        <f t="shared" si="40"/>
        <v>0.18228335512647467</v>
      </c>
      <c r="K389" s="3" t="str">
        <f t="shared" si="41"/>
        <v>High Volatility</v>
      </c>
      <c r="L389" s="4">
        <f>VALUE(A389)</f>
        <v>41954</v>
      </c>
    </row>
    <row r="390" spans="1:12">
      <c r="A390" s="5">
        <v>41955</v>
      </c>
      <c r="B390" s="3">
        <v>311.51001000000002</v>
      </c>
      <c r="C390" s="3">
        <v>87.529212999999999</v>
      </c>
      <c r="D390" s="3">
        <v>432.02999899999998</v>
      </c>
      <c r="E390" s="3">
        <v>54.837142999999998</v>
      </c>
      <c r="F390" s="3">
        <f t="shared" si="36"/>
        <v>2014</v>
      </c>
      <c r="G390" s="3" t="str">
        <f t="shared" si="37"/>
        <v>Nov</v>
      </c>
      <c r="H390" s="3" t="str">
        <f t="shared" si="38"/>
        <v>Q4</v>
      </c>
      <c r="I390" s="3">
        <f t="shared" si="39"/>
        <v>1.5954546693379028E-2</v>
      </c>
      <c r="J390" s="3">
        <f t="shared" si="40"/>
        <v>-7.6615003765049903E-3</v>
      </c>
      <c r="K390" s="3" t="str">
        <f t="shared" si="41"/>
        <v>Normal</v>
      </c>
      <c r="L390" s="4">
        <f>VALUE(A390)</f>
        <v>41955</v>
      </c>
    </row>
    <row r="391" spans="1:12">
      <c r="A391" s="5">
        <v>41956</v>
      </c>
      <c r="B391" s="3">
        <v>316.48001099999999</v>
      </c>
      <c r="C391" s="3">
        <v>87.739333999999999</v>
      </c>
      <c r="D391" s="3">
        <v>428.72000100000002</v>
      </c>
      <c r="E391" s="3">
        <v>54.201427000000002</v>
      </c>
      <c r="F391" s="3">
        <f t="shared" si="36"/>
        <v>2014</v>
      </c>
      <c r="G391" s="3" t="str">
        <f t="shared" si="37"/>
        <v>Nov</v>
      </c>
      <c r="H391" s="3" t="str">
        <f t="shared" si="38"/>
        <v>Q4</v>
      </c>
      <c r="I391" s="3">
        <f t="shared" si="39"/>
        <v>3.5831634244982334E-2</v>
      </c>
      <c r="J391" s="3">
        <f t="shared" si="40"/>
        <v>-7.508397538000576E-2</v>
      </c>
      <c r="K391" s="3" t="str">
        <f t="shared" si="41"/>
        <v>High Volatility</v>
      </c>
      <c r="L391" s="4">
        <f>VALUE(A391)</f>
        <v>41956</v>
      </c>
    </row>
    <row r="392" spans="1:12">
      <c r="A392" s="5">
        <v>41957</v>
      </c>
      <c r="B392" s="3">
        <v>327.82000699999998</v>
      </c>
      <c r="C392" s="3">
        <v>87.347740000000002</v>
      </c>
      <c r="D392" s="3">
        <v>396.52999899999998</v>
      </c>
      <c r="E392" s="3">
        <v>55.148570999999997</v>
      </c>
      <c r="F392" s="3">
        <f t="shared" si="36"/>
        <v>2014</v>
      </c>
      <c r="G392" s="3" t="str">
        <f t="shared" si="37"/>
        <v>Nov</v>
      </c>
      <c r="H392" s="3" t="str">
        <f t="shared" si="38"/>
        <v>Q4</v>
      </c>
      <c r="I392" s="3">
        <f t="shared" si="39"/>
        <v>-1.4550725697470903E-2</v>
      </c>
      <c r="J392" s="3">
        <f t="shared" si="40"/>
        <v>-2.9859019569412157E-2</v>
      </c>
      <c r="K392" s="3" t="str">
        <f t="shared" si="41"/>
        <v>Normal</v>
      </c>
      <c r="L392" s="4">
        <f>VALUE(A392)</f>
        <v>41957</v>
      </c>
    </row>
    <row r="393" spans="1:12">
      <c r="A393" s="5">
        <v>41960</v>
      </c>
      <c r="B393" s="3">
        <v>323.04998799999998</v>
      </c>
      <c r="C393" s="3">
        <v>86.927543999999997</v>
      </c>
      <c r="D393" s="3">
        <v>384.69000199999999</v>
      </c>
      <c r="E393" s="3">
        <v>54.448569999999997</v>
      </c>
      <c r="F393" s="3">
        <f t="shared" si="36"/>
        <v>2014</v>
      </c>
      <c r="G393" s="3" t="str">
        <f t="shared" si="37"/>
        <v>Nov</v>
      </c>
      <c r="H393" s="3" t="str">
        <f t="shared" si="38"/>
        <v>Q4</v>
      </c>
      <c r="I393" s="3">
        <f t="shared" si="39"/>
        <v>5.8195482737490138E-3</v>
      </c>
      <c r="J393" s="3">
        <f t="shared" si="40"/>
        <v>-1.4375205935297423E-2</v>
      </c>
      <c r="K393" s="3" t="str">
        <f t="shared" si="41"/>
        <v>Normal</v>
      </c>
      <c r="L393" s="4">
        <f>VALUE(A393)</f>
        <v>41960</v>
      </c>
    </row>
    <row r="394" spans="1:12">
      <c r="A394" s="5">
        <v>41961</v>
      </c>
      <c r="B394" s="3">
        <v>324.92999300000002</v>
      </c>
      <c r="C394" s="3">
        <v>87.405067000000003</v>
      </c>
      <c r="D394" s="3">
        <v>379.16000400000001</v>
      </c>
      <c r="E394" s="3">
        <v>54.432858000000003</v>
      </c>
      <c r="F394" s="3">
        <f t="shared" si="36"/>
        <v>2014</v>
      </c>
      <c r="G394" s="3" t="str">
        <f t="shared" si="37"/>
        <v>Nov</v>
      </c>
      <c r="H394" s="3" t="str">
        <f t="shared" si="38"/>
        <v>Q4</v>
      </c>
      <c r="I394" s="3">
        <f t="shared" si="39"/>
        <v>4.9549627140759922E-3</v>
      </c>
      <c r="J394" s="3">
        <f t="shared" si="40"/>
        <v>5.9868893766548475E-3</v>
      </c>
      <c r="K394" s="3" t="str">
        <f t="shared" si="41"/>
        <v>Normal</v>
      </c>
      <c r="L394" s="4">
        <f>VALUE(A394)</f>
        <v>41961</v>
      </c>
    </row>
    <row r="395" spans="1:12">
      <c r="A395" s="5">
        <v>41962</v>
      </c>
      <c r="B395" s="3">
        <v>326.540009</v>
      </c>
      <c r="C395" s="3">
        <v>87.300017999999994</v>
      </c>
      <c r="D395" s="3">
        <v>381.42999300000002</v>
      </c>
      <c r="E395" s="3">
        <v>51.871428999999999</v>
      </c>
      <c r="F395" s="3">
        <f t="shared" si="36"/>
        <v>2014</v>
      </c>
      <c r="G395" s="3" t="str">
        <f t="shared" si="37"/>
        <v>Nov</v>
      </c>
      <c r="H395" s="3" t="str">
        <f t="shared" si="38"/>
        <v>Q4</v>
      </c>
      <c r="I395" s="3">
        <f t="shared" si="39"/>
        <v>1.2249647485003897E-2</v>
      </c>
      <c r="J395" s="3">
        <f t="shared" si="40"/>
        <v>-6.3261949618104732E-2</v>
      </c>
      <c r="K395" s="3" t="str">
        <f t="shared" si="41"/>
        <v>High Volatility</v>
      </c>
      <c r="L395" s="4">
        <f>VALUE(A395)</f>
        <v>41962</v>
      </c>
    </row>
    <row r="396" spans="1:12">
      <c r="A396" s="5">
        <v>41963</v>
      </c>
      <c r="B396" s="3">
        <v>330.540009</v>
      </c>
      <c r="C396" s="3">
        <v>88.312340000000006</v>
      </c>
      <c r="D396" s="3">
        <v>357.29998799999998</v>
      </c>
      <c r="E396" s="3">
        <v>52.591427000000003</v>
      </c>
      <c r="F396" s="3">
        <f t="shared" si="36"/>
        <v>2014</v>
      </c>
      <c r="G396" s="3" t="str">
        <f t="shared" si="37"/>
        <v>Nov</v>
      </c>
      <c r="H396" s="3" t="str">
        <f t="shared" si="38"/>
        <v>Q4</v>
      </c>
      <c r="I396" s="3">
        <f t="shared" si="39"/>
        <v>6.3229743543692625E-3</v>
      </c>
      <c r="J396" s="3">
        <f t="shared" si="40"/>
        <v>-1.5477187757420175E-2</v>
      </c>
      <c r="K396" s="3" t="str">
        <f t="shared" si="41"/>
        <v>Normal</v>
      </c>
      <c r="L396" s="4">
        <f>VALUE(A396)</f>
        <v>41963</v>
      </c>
    </row>
    <row r="397" spans="1:12">
      <c r="A397" s="5">
        <v>41964</v>
      </c>
      <c r="B397" s="3">
        <v>332.63000499999998</v>
      </c>
      <c r="C397" s="3">
        <v>88.532004999999998</v>
      </c>
      <c r="D397" s="3">
        <v>351.76998900000001</v>
      </c>
      <c r="E397" s="3">
        <v>51.468570999999997</v>
      </c>
      <c r="F397" s="3">
        <f t="shared" si="36"/>
        <v>2014</v>
      </c>
      <c r="G397" s="3" t="str">
        <f t="shared" si="37"/>
        <v>Nov</v>
      </c>
      <c r="H397" s="3" t="str">
        <f t="shared" si="38"/>
        <v>Q4</v>
      </c>
      <c r="I397" s="3">
        <f t="shared" si="39"/>
        <v>9.0491235148796104E-3</v>
      </c>
      <c r="J397" s="3">
        <f t="shared" si="40"/>
        <v>7.6982169732506656E-2</v>
      </c>
      <c r="K397" s="3" t="str">
        <f t="shared" si="41"/>
        <v>High Volatility</v>
      </c>
      <c r="L397" s="4">
        <f>VALUE(A397)</f>
        <v>41964</v>
      </c>
    </row>
    <row r="398" spans="1:12">
      <c r="A398" s="5">
        <v>41967</v>
      </c>
      <c r="B398" s="3">
        <v>335.64001500000001</v>
      </c>
      <c r="C398" s="3">
        <v>89.171890000000005</v>
      </c>
      <c r="D398" s="3">
        <v>378.85000600000001</v>
      </c>
      <c r="E398" s="3">
        <v>50.924286000000002</v>
      </c>
      <c r="F398" s="3">
        <f t="shared" si="36"/>
        <v>2014</v>
      </c>
      <c r="G398" s="3" t="str">
        <f t="shared" si="37"/>
        <v>Nov</v>
      </c>
      <c r="H398" s="3" t="str">
        <f t="shared" si="38"/>
        <v>Q4</v>
      </c>
      <c r="I398" s="3">
        <f t="shared" si="39"/>
        <v>-1.787647399550997E-3</v>
      </c>
      <c r="J398" s="3">
        <f t="shared" si="40"/>
        <v>-6.3877866218114377E-3</v>
      </c>
      <c r="K398" s="3" t="str">
        <f t="shared" si="41"/>
        <v>Normal</v>
      </c>
      <c r="L398" s="4">
        <f>VALUE(A398)</f>
        <v>41967</v>
      </c>
    </row>
    <row r="399" spans="1:12">
      <c r="A399" s="5">
        <v>41968</v>
      </c>
      <c r="B399" s="3">
        <v>335.040009</v>
      </c>
      <c r="C399" s="3">
        <v>88.971328999999997</v>
      </c>
      <c r="D399" s="3">
        <v>376.42999300000002</v>
      </c>
      <c r="E399" s="3">
        <v>49.855713000000002</v>
      </c>
      <c r="F399" s="3">
        <f t="shared" si="36"/>
        <v>2014</v>
      </c>
      <c r="G399" s="3" t="str">
        <f t="shared" si="37"/>
        <v>Nov</v>
      </c>
      <c r="H399" s="3" t="str">
        <f t="shared" si="38"/>
        <v>Q4</v>
      </c>
      <c r="I399" s="3">
        <f t="shared" si="39"/>
        <v>-4.3875416681952821E-3</v>
      </c>
      <c r="J399" s="3">
        <f t="shared" si="40"/>
        <v>-2.9434389411154113E-2</v>
      </c>
      <c r="K399" s="3" t="str">
        <f t="shared" si="41"/>
        <v>Normal</v>
      </c>
      <c r="L399" s="4">
        <f>VALUE(A399)</f>
        <v>41968</v>
      </c>
    </row>
    <row r="400" spans="1:12">
      <c r="A400" s="5">
        <v>41969</v>
      </c>
      <c r="B400" s="3">
        <v>333.57000699999998</v>
      </c>
      <c r="C400" s="3">
        <v>89.038177000000005</v>
      </c>
      <c r="D400" s="3">
        <v>365.35000600000001</v>
      </c>
      <c r="E400" s="3">
        <v>50.165714000000001</v>
      </c>
      <c r="F400" s="3">
        <f t="shared" si="36"/>
        <v>2014</v>
      </c>
      <c r="G400" s="3" t="str">
        <f t="shared" si="37"/>
        <v>Nov</v>
      </c>
      <c r="H400" s="3" t="str">
        <f t="shared" si="38"/>
        <v>Q4</v>
      </c>
      <c r="I400" s="3">
        <f t="shared" si="39"/>
        <v>1.51992322259358E-2</v>
      </c>
      <c r="J400" s="3">
        <f t="shared" si="40"/>
        <v>3.3502093332386525E-2</v>
      </c>
      <c r="K400" s="3" t="str">
        <f t="shared" si="41"/>
        <v>Normal</v>
      </c>
      <c r="L400" s="4">
        <f>VALUE(A400)</f>
        <v>41969</v>
      </c>
    </row>
    <row r="401" spans="1:12">
      <c r="A401" s="5">
        <v>41971</v>
      </c>
      <c r="B401" s="3">
        <v>338.64001500000001</v>
      </c>
      <c r="C401" s="3">
        <v>89.630302</v>
      </c>
      <c r="D401" s="3">
        <v>377.58999599999999</v>
      </c>
      <c r="E401" s="3">
        <v>49.512855999999999</v>
      </c>
      <c r="F401" s="3">
        <f t="shared" si="36"/>
        <v>2014</v>
      </c>
      <c r="G401" s="3" t="str">
        <f t="shared" si="37"/>
        <v>Nov</v>
      </c>
      <c r="H401" s="3" t="str">
        <f t="shared" si="38"/>
        <v>Q4</v>
      </c>
      <c r="I401" s="3">
        <f t="shared" si="39"/>
        <v>-3.732581632445299E-2</v>
      </c>
      <c r="J401" s="3">
        <f t="shared" si="40"/>
        <v>2.7013136227264072E-3</v>
      </c>
      <c r="K401" s="3" t="str">
        <f t="shared" si="41"/>
        <v>Normal</v>
      </c>
      <c r="L401" s="4">
        <f>VALUE(A401)</f>
        <v>41971</v>
      </c>
    </row>
    <row r="402" spans="1:12">
      <c r="A402" s="5">
        <v>41974</v>
      </c>
      <c r="B402" s="3">
        <v>326</v>
      </c>
      <c r="C402" s="3">
        <v>89.964554000000007</v>
      </c>
      <c r="D402" s="3">
        <v>378.60998499999999</v>
      </c>
      <c r="E402" s="3">
        <v>48.830002</v>
      </c>
      <c r="F402" s="3">
        <f t="shared" si="36"/>
        <v>2014</v>
      </c>
      <c r="G402" s="3" t="str">
        <f t="shared" si="37"/>
        <v>Dec</v>
      </c>
      <c r="H402" s="3" t="str">
        <f t="shared" si="38"/>
        <v>Q4</v>
      </c>
      <c r="I402" s="3">
        <f t="shared" si="39"/>
        <v>9.5091411042947033E-4</v>
      </c>
      <c r="J402" s="3">
        <f t="shared" si="40"/>
        <v>5.3617973123450792E-3</v>
      </c>
      <c r="K402" s="3" t="str">
        <f t="shared" si="41"/>
        <v>Normal</v>
      </c>
      <c r="L402" s="4">
        <f>VALUE(A402)</f>
        <v>41974</v>
      </c>
    </row>
    <row r="403" spans="1:12">
      <c r="A403" s="5">
        <v>41975</v>
      </c>
      <c r="B403" s="3">
        <v>326.30999800000001</v>
      </c>
      <c r="C403" s="3">
        <v>90.814537000000001</v>
      </c>
      <c r="D403" s="3">
        <v>380.64001500000001</v>
      </c>
      <c r="E403" s="3">
        <v>50.330002</v>
      </c>
      <c r="F403" s="3">
        <f t="shared" si="36"/>
        <v>2014</v>
      </c>
      <c r="G403" s="3" t="str">
        <f t="shared" si="37"/>
        <v>Dec</v>
      </c>
      <c r="H403" s="3" t="str">
        <f t="shared" si="38"/>
        <v>Q4</v>
      </c>
      <c r="I403" s="3">
        <f t="shared" si="39"/>
        <v>-3.0063430664481226E-2</v>
      </c>
      <c r="J403" s="3">
        <f t="shared" si="40"/>
        <v>-9.6679903714274578E-3</v>
      </c>
      <c r="K403" s="3" t="str">
        <f t="shared" si="41"/>
        <v>Normal</v>
      </c>
      <c r="L403" s="4">
        <f>VALUE(A403)</f>
        <v>41975</v>
      </c>
    </row>
    <row r="404" spans="1:12">
      <c r="A404" s="5">
        <v>41976</v>
      </c>
      <c r="B404" s="3">
        <v>316.5</v>
      </c>
      <c r="C404" s="3">
        <v>91.397118000000006</v>
      </c>
      <c r="D404" s="3">
        <v>376.959991</v>
      </c>
      <c r="E404" s="3">
        <v>50.731430000000003</v>
      </c>
      <c r="F404" s="3">
        <f t="shared" si="36"/>
        <v>2014</v>
      </c>
      <c r="G404" s="3" t="str">
        <f t="shared" si="37"/>
        <v>Dec</v>
      </c>
      <c r="H404" s="3" t="str">
        <f t="shared" si="38"/>
        <v>Q4</v>
      </c>
      <c r="I404" s="3">
        <f t="shared" si="39"/>
        <v>1.3585876777251959E-3</v>
      </c>
      <c r="J404" s="3">
        <f t="shared" si="40"/>
        <v>-1.8887932857574844E-2</v>
      </c>
      <c r="K404" s="3" t="str">
        <f t="shared" si="41"/>
        <v>Normal</v>
      </c>
      <c r="L404" s="4">
        <f>VALUE(A404)</f>
        <v>41976</v>
      </c>
    </row>
    <row r="405" spans="1:12">
      <c r="A405" s="5">
        <v>41977</v>
      </c>
      <c r="B405" s="3">
        <v>316.92999300000002</v>
      </c>
      <c r="C405" s="3">
        <v>91.616776000000002</v>
      </c>
      <c r="D405" s="3">
        <v>369.83999599999999</v>
      </c>
      <c r="E405" s="3">
        <v>50.085712000000001</v>
      </c>
      <c r="F405" s="3">
        <f t="shared" si="36"/>
        <v>2014</v>
      </c>
      <c r="G405" s="3" t="str">
        <f t="shared" si="37"/>
        <v>Dec</v>
      </c>
      <c r="H405" s="3" t="str">
        <f t="shared" si="38"/>
        <v>Q4</v>
      </c>
      <c r="I405" s="3">
        <f t="shared" si="39"/>
        <v>-1.3567627220438052E-2</v>
      </c>
      <c r="J405" s="3">
        <f t="shared" si="40"/>
        <v>2.1063187011282573E-2</v>
      </c>
      <c r="K405" s="3" t="str">
        <f t="shared" si="41"/>
        <v>Normal</v>
      </c>
      <c r="L405" s="4">
        <f>VALUE(A405)</f>
        <v>41977</v>
      </c>
    </row>
    <row r="406" spans="1:12">
      <c r="A406" s="5">
        <v>41978</v>
      </c>
      <c r="B406" s="3">
        <v>312.63000499999998</v>
      </c>
      <c r="C406" s="3">
        <v>90.623542999999998</v>
      </c>
      <c r="D406" s="3">
        <v>377.63000499999998</v>
      </c>
      <c r="E406" s="3">
        <v>50.131428</v>
      </c>
      <c r="F406" s="3">
        <f t="shared" si="36"/>
        <v>2014</v>
      </c>
      <c r="G406" s="3" t="str">
        <f t="shared" si="37"/>
        <v>Dec</v>
      </c>
      <c r="H406" s="3" t="str">
        <f t="shared" si="38"/>
        <v>Q4</v>
      </c>
      <c r="I406" s="3">
        <f t="shared" si="39"/>
        <v>-1.9159997134631967E-2</v>
      </c>
      <c r="J406" s="3">
        <f t="shared" si="40"/>
        <v>-3.3577821762335779E-2</v>
      </c>
      <c r="K406" s="3" t="str">
        <f t="shared" si="41"/>
        <v>Normal</v>
      </c>
      <c r="L406" s="4">
        <f>VALUE(A406)</f>
        <v>41978</v>
      </c>
    </row>
    <row r="407" spans="1:12">
      <c r="A407" s="5">
        <v>41981</v>
      </c>
      <c r="B407" s="3">
        <v>306.64001500000001</v>
      </c>
      <c r="C407" s="3">
        <v>91.110611000000006</v>
      </c>
      <c r="D407" s="3">
        <v>364.95001200000002</v>
      </c>
      <c r="E407" s="3">
        <v>48.497143000000001</v>
      </c>
      <c r="F407" s="3">
        <f t="shared" si="36"/>
        <v>2014</v>
      </c>
      <c r="G407" s="3" t="str">
        <f t="shared" si="37"/>
        <v>Dec</v>
      </c>
      <c r="H407" s="3" t="str">
        <f t="shared" si="38"/>
        <v>Q4</v>
      </c>
      <c r="I407" s="3">
        <f t="shared" si="39"/>
        <v>1.9110307570262788E-2</v>
      </c>
      <c r="J407" s="3">
        <f t="shared" si="40"/>
        <v>-3.4963719908029545E-2</v>
      </c>
      <c r="K407" s="3" t="str">
        <f t="shared" si="41"/>
        <v>Normal</v>
      </c>
      <c r="L407" s="4">
        <f>VALUE(A407)</f>
        <v>41981</v>
      </c>
    </row>
    <row r="408" spans="1:12">
      <c r="A408" s="5">
        <v>41982</v>
      </c>
      <c r="B408" s="3">
        <v>312.5</v>
      </c>
      <c r="C408" s="3">
        <v>90.652184000000005</v>
      </c>
      <c r="D408" s="3">
        <v>352.19000199999999</v>
      </c>
      <c r="E408" s="3">
        <v>49.111426999999999</v>
      </c>
      <c r="F408" s="3">
        <f t="shared" si="36"/>
        <v>2014</v>
      </c>
      <c r="G408" s="3" t="str">
        <f t="shared" si="37"/>
        <v>Dec</v>
      </c>
      <c r="H408" s="3" t="str">
        <f t="shared" si="38"/>
        <v>Q4</v>
      </c>
      <c r="I408" s="3">
        <f t="shared" si="39"/>
        <v>-2.1312012800000047E-2</v>
      </c>
      <c r="J408" s="3">
        <f t="shared" si="40"/>
        <v>-1.2067349941410319E-2</v>
      </c>
      <c r="K408" s="3" t="str">
        <f t="shared" si="41"/>
        <v>Normal</v>
      </c>
      <c r="L408" s="4">
        <f>VALUE(A408)</f>
        <v>41982</v>
      </c>
    </row>
    <row r="409" spans="1:12">
      <c r="A409" s="5">
        <v>41983</v>
      </c>
      <c r="B409" s="3">
        <v>305.83999599999999</v>
      </c>
      <c r="C409" s="3">
        <v>89.124145999999996</v>
      </c>
      <c r="D409" s="3">
        <v>347.94000199999999</v>
      </c>
      <c r="E409" s="3">
        <v>47.759998000000003</v>
      </c>
      <c r="F409" s="3">
        <f t="shared" si="36"/>
        <v>2014</v>
      </c>
      <c r="G409" s="3" t="str">
        <f t="shared" si="37"/>
        <v>Dec</v>
      </c>
      <c r="H409" s="3" t="str">
        <f t="shared" si="38"/>
        <v>Q4</v>
      </c>
      <c r="I409" s="3">
        <f t="shared" si="39"/>
        <v>4.9698830103307012E-3</v>
      </c>
      <c r="J409" s="3">
        <f t="shared" si="40"/>
        <v>-7.4728113613095907E-4</v>
      </c>
      <c r="K409" s="3" t="str">
        <f t="shared" si="41"/>
        <v>Normal</v>
      </c>
      <c r="L409" s="4">
        <f>VALUE(A409)</f>
        <v>41983</v>
      </c>
    </row>
    <row r="410" spans="1:12">
      <c r="A410" s="5">
        <v>41984</v>
      </c>
      <c r="B410" s="3">
        <v>307.35998499999999</v>
      </c>
      <c r="C410" s="3">
        <v>90.129615999999999</v>
      </c>
      <c r="D410" s="3">
        <v>347.67999300000002</v>
      </c>
      <c r="E410" s="3">
        <v>47.804287000000002</v>
      </c>
      <c r="F410" s="3">
        <f t="shared" si="36"/>
        <v>2014</v>
      </c>
      <c r="G410" s="3" t="str">
        <f t="shared" si="37"/>
        <v>Dec</v>
      </c>
      <c r="H410" s="3" t="str">
        <f t="shared" si="38"/>
        <v>Q4</v>
      </c>
      <c r="I410" s="3">
        <f t="shared" si="39"/>
        <v>-1.3006898084023255E-4</v>
      </c>
      <c r="J410" s="3">
        <f t="shared" si="40"/>
        <v>1.6451913009558672E-2</v>
      </c>
      <c r="K410" s="3" t="str">
        <f t="shared" si="41"/>
        <v>Normal</v>
      </c>
      <c r="L410" s="4">
        <f>VALUE(A410)</f>
        <v>41984</v>
      </c>
    </row>
    <row r="411" spans="1:12">
      <c r="A411" s="5">
        <v>41985</v>
      </c>
      <c r="B411" s="3">
        <v>307.32000699999998</v>
      </c>
      <c r="C411" s="3">
        <v>91.039344999999997</v>
      </c>
      <c r="D411" s="3">
        <v>353.39999399999999</v>
      </c>
      <c r="E411" s="3">
        <v>47.782856000000002</v>
      </c>
      <c r="F411" s="3">
        <f t="shared" si="36"/>
        <v>2014</v>
      </c>
      <c r="G411" s="3" t="str">
        <f t="shared" si="37"/>
        <v>Dec</v>
      </c>
      <c r="H411" s="3" t="str">
        <f t="shared" si="38"/>
        <v>Q4</v>
      </c>
      <c r="I411" s="3">
        <f t="shared" si="39"/>
        <v>-4.0674214874659954E-3</v>
      </c>
      <c r="J411" s="3">
        <f t="shared" si="40"/>
        <v>-2.2722125456515925E-2</v>
      </c>
      <c r="K411" s="3" t="str">
        <f t="shared" si="41"/>
        <v>Normal</v>
      </c>
      <c r="L411" s="4">
        <f>VALUE(A411)</f>
        <v>41985</v>
      </c>
    </row>
    <row r="412" spans="1:12">
      <c r="A412" s="5">
        <v>41988</v>
      </c>
      <c r="B412" s="3">
        <v>306.07000699999998</v>
      </c>
      <c r="C412" s="3">
        <v>90.014702</v>
      </c>
      <c r="D412" s="3">
        <v>345.36999500000002</v>
      </c>
      <c r="E412" s="3">
        <v>46.720001000000003</v>
      </c>
      <c r="F412" s="3">
        <f t="shared" si="36"/>
        <v>2014</v>
      </c>
      <c r="G412" s="3" t="str">
        <f t="shared" si="37"/>
        <v>Dec</v>
      </c>
      <c r="H412" s="3" t="str">
        <f t="shared" si="38"/>
        <v>Q4</v>
      </c>
      <c r="I412" s="3">
        <f t="shared" si="39"/>
        <v>-3.5972191812966403E-2</v>
      </c>
      <c r="J412" s="3">
        <f t="shared" si="40"/>
        <v>-4.3865982046297887E-2</v>
      </c>
      <c r="K412" s="3" t="str">
        <f t="shared" si="41"/>
        <v>Normal</v>
      </c>
      <c r="L412" s="4">
        <f>VALUE(A412)</f>
        <v>41988</v>
      </c>
    </row>
    <row r="413" spans="1:12">
      <c r="A413" s="5">
        <v>41989</v>
      </c>
      <c r="B413" s="3">
        <v>295.05999800000001</v>
      </c>
      <c r="C413" s="3">
        <v>88.980484000000004</v>
      </c>
      <c r="D413" s="3">
        <v>330.22000100000002</v>
      </c>
      <c r="E413" s="3">
        <v>45.205714999999998</v>
      </c>
      <c r="F413" s="3">
        <f t="shared" si="36"/>
        <v>2014</v>
      </c>
      <c r="G413" s="3" t="str">
        <f t="shared" si="37"/>
        <v>Dec</v>
      </c>
      <c r="H413" s="3" t="str">
        <f t="shared" si="38"/>
        <v>Q4</v>
      </c>
      <c r="I413" s="3">
        <f t="shared" si="39"/>
        <v>1.2946543163739787E-2</v>
      </c>
      <c r="J413" s="3">
        <f t="shared" si="40"/>
        <v>-3.0888534822577311E-2</v>
      </c>
      <c r="K413" s="3" t="str">
        <f t="shared" si="41"/>
        <v>Normal</v>
      </c>
      <c r="L413" s="4">
        <f>VALUE(A413)</f>
        <v>41989</v>
      </c>
    </row>
    <row r="414" spans="1:12">
      <c r="A414" s="5">
        <v>41990</v>
      </c>
      <c r="B414" s="3">
        <v>298.88000499999998</v>
      </c>
      <c r="C414" s="3">
        <v>89.468872000000005</v>
      </c>
      <c r="D414" s="3">
        <v>320.01998900000001</v>
      </c>
      <c r="E414" s="3">
        <v>47.664287999999999</v>
      </c>
      <c r="F414" s="3">
        <f t="shared" si="36"/>
        <v>2014</v>
      </c>
      <c r="G414" s="3" t="str">
        <f t="shared" si="37"/>
        <v>Dec</v>
      </c>
      <c r="H414" s="3" t="str">
        <f t="shared" si="38"/>
        <v>Q4</v>
      </c>
      <c r="I414" s="3">
        <f t="shared" si="39"/>
        <v>-3.8476779334903734E-3</v>
      </c>
      <c r="J414" s="3">
        <f t="shared" si="40"/>
        <v>-3.0248088659236921E-2</v>
      </c>
      <c r="K414" s="3" t="str">
        <f t="shared" si="41"/>
        <v>Normal</v>
      </c>
      <c r="L414" s="4">
        <f>VALUE(A414)</f>
        <v>41990</v>
      </c>
    </row>
    <row r="415" spans="1:12">
      <c r="A415" s="5">
        <v>41991</v>
      </c>
      <c r="B415" s="3">
        <v>297.73001099999999</v>
      </c>
      <c r="C415" s="3">
        <v>90.445625000000007</v>
      </c>
      <c r="D415" s="3">
        <v>310.33999599999999</v>
      </c>
      <c r="E415" s="3">
        <v>47.774284000000002</v>
      </c>
      <c r="F415" s="3">
        <f t="shared" si="36"/>
        <v>2014</v>
      </c>
      <c r="G415" s="3" t="str">
        <f t="shared" si="37"/>
        <v>Dec</v>
      </c>
      <c r="H415" s="3" t="str">
        <f t="shared" si="38"/>
        <v>Q4</v>
      </c>
      <c r="I415" s="3">
        <f t="shared" si="39"/>
        <v>7.2884254855987698E-3</v>
      </c>
      <c r="J415" s="3">
        <f t="shared" si="40"/>
        <v>2.3973716233469278E-2</v>
      </c>
      <c r="K415" s="3" t="str">
        <f t="shared" si="41"/>
        <v>Normal</v>
      </c>
      <c r="L415" s="4">
        <f>VALUE(A415)</f>
        <v>41991</v>
      </c>
    </row>
    <row r="416" spans="1:12">
      <c r="A416" s="5">
        <v>41992</v>
      </c>
      <c r="B416" s="3">
        <v>299.89999399999999</v>
      </c>
      <c r="C416" s="3">
        <v>91.633041000000006</v>
      </c>
      <c r="D416" s="3">
        <v>317.77999899999998</v>
      </c>
      <c r="E416" s="3">
        <v>48.588569999999997</v>
      </c>
      <c r="F416" s="3">
        <f t="shared" si="36"/>
        <v>2014</v>
      </c>
      <c r="G416" s="3" t="str">
        <f t="shared" si="37"/>
        <v>Dec</v>
      </c>
      <c r="H416" s="3" t="str">
        <f t="shared" si="38"/>
        <v>Q4</v>
      </c>
      <c r="I416" s="3">
        <f t="shared" si="39"/>
        <v>2.2140764030825575E-2</v>
      </c>
      <c r="J416" s="3">
        <f t="shared" si="40"/>
        <v>4.1097605390828927E-2</v>
      </c>
      <c r="K416" s="3" t="str">
        <f t="shared" si="41"/>
        <v>Normal</v>
      </c>
      <c r="L416" s="4">
        <f>VALUE(A416)</f>
        <v>41992</v>
      </c>
    </row>
    <row r="417" spans="1:12">
      <c r="A417" s="5">
        <v>41995</v>
      </c>
      <c r="B417" s="3">
        <v>306.540009</v>
      </c>
      <c r="C417" s="3">
        <v>91.834159999999997</v>
      </c>
      <c r="D417" s="3">
        <v>330.83999599999999</v>
      </c>
      <c r="E417" s="3">
        <v>48.097141000000001</v>
      </c>
      <c r="F417" s="3">
        <f t="shared" si="36"/>
        <v>2014</v>
      </c>
      <c r="G417" s="3" t="str">
        <f t="shared" si="37"/>
        <v>Dec</v>
      </c>
      <c r="H417" s="3" t="str">
        <f t="shared" si="38"/>
        <v>Q4</v>
      </c>
      <c r="I417" s="3">
        <f t="shared" si="39"/>
        <v>-8.1555422672412072E-4</v>
      </c>
      <c r="J417" s="3">
        <f t="shared" si="40"/>
        <v>1.332971845399253E-2</v>
      </c>
      <c r="K417" s="3" t="str">
        <f t="shared" si="41"/>
        <v>Normal</v>
      </c>
      <c r="L417" s="4">
        <f>VALUE(A417)</f>
        <v>41995</v>
      </c>
    </row>
    <row r="418" spans="1:12">
      <c r="A418" s="5">
        <v>41996</v>
      </c>
      <c r="B418" s="3">
        <v>306.290009</v>
      </c>
      <c r="C418" s="3">
        <v>91.566024999999996</v>
      </c>
      <c r="D418" s="3">
        <v>335.25</v>
      </c>
      <c r="E418" s="3">
        <v>48.061427999999999</v>
      </c>
      <c r="F418" s="3">
        <f t="shared" si="36"/>
        <v>2014</v>
      </c>
      <c r="G418" s="3" t="str">
        <f t="shared" si="37"/>
        <v>Dec</v>
      </c>
      <c r="H418" s="3" t="str">
        <f t="shared" si="38"/>
        <v>Q4</v>
      </c>
      <c r="I418" s="3">
        <f t="shared" si="39"/>
        <v>-1.0643540122786123E-2</v>
      </c>
      <c r="J418" s="3">
        <f t="shared" si="40"/>
        <v>-3.8329622669649538E-2</v>
      </c>
      <c r="K418" s="3" t="str">
        <f t="shared" si="41"/>
        <v>Normal</v>
      </c>
      <c r="L418" s="4">
        <f>VALUE(A418)</f>
        <v>41996</v>
      </c>
    </row>
    <row r="419" spans="1:12">
      <c r="A419" s="5">
        <v>41997</v>
      </c>
      <c r="B419" s="3">
        <v>303.02999899999998</v>
      </c>
      <c r="C419" s="3">
        <v>91.345787000000001</v>
      </c>
      <c r="D419" s="3">
        <v>322.39999399999999</v>
      </c>
      <c r="E419" s="3">
        <v>48.871428999999999</v>
      </c>
      <c r="F419" s="3">
        <f t="shared" si="36"/>
        <v>2014</v>
      </c>
      <c r="G419" s="3" t="str">
        <f t="shared" si="37"/>
        <v>Dec</v>
      </c>
      <c r="H419" s="3" t="str">
        <f t="shared" si="38"/>
        <v>Q4</v>
      </c>
      <c r="I419" s="3">
        <f t="shared" si="39"/>
        <v>1.999801016400363E-2</v>
      </c>
      <c r="J419" s="3">
        <f t="shared" si="40"/>
        <v>2.3511219420183978E-2</v>
      </c>
      <c r="K419" s="3" t="str">
        <f t="shared" si="41"/>
        <v>Normal</v>
      </c>
      <c r="L419" s="4">
        <f>VALUE(A419)</f>
        <v>41997</v>
      </c>
    </row>
    <row r="420" spans="1:12">
      <c r="A420" s="5">
        <v>41999</v>
      </c>
      <c r="B420" s="3">
        <v>309.08999599999999</v>
      </c>
      <c r="C420" s="3">
        <v>91.403221000000002</v>
      </c>
      <c r="D420" s="3">
        <v>329.98001099999999</v>
      </c>
      <c r="E420" s="3">
        <v>48.578570999999997</v>
      </c>
      <c r="F420" s="3">
        <f t="shared" si="36"/>
        <v>2014</v>
      </c>
      <c r="G420" s="3" t="str">
        <f t="shared" si="37"/>
        <v>Dec</v>
      </c>
      <c r="H420" s="3" t="str">
        <f t="shared" si="38"/>
        <v>Q4</v>
      </c>
      <c r="I420" s="3">
        <f t="shared" si="39"/>
        <v>9.5441879005362974E-3</v>
      </c>
      <c r="J420" s="3">
        <f t="shared" si="40"/>
        <v>-4.8063565886722677E-2</v>
      </c>
      <c r="K420" s="3" t="str">
        <f t="shared" si="41"/>
        <v>Normal</v>
      </c>
      <c r="L420" s="4">
        <f>VALUE(A420)</f>
        <v>41999</v>
      </c>
    </row>
    <row r="421" spans="1:12">
      <c r="A421" s="5">
        <v>42002</v>
      </c>
      <c r="B421" s="3">
        <v>312.040009</v>
      </c>
      <c r="C421" s="3">
        <v>91.393646000000004</v>
      </c>
      <c r="D421" s="3">
        <v>314.11999500000002</v>
      </c>
      <c r="E421" s="3">
        <v>48.847141000000001</v>
      </c>
      <c r="F421" s="3">
        <f t="shared" si="36"/>
        <v>2014</v>
      </c>
      <c r="G421" s="3" t="str">
        <f t="shared" si="37"/>
        <v>Dec</v>
      </c>
      <c r="H421" s="3" t="str">
        <f t="shared" si="38"/>
        <v>Q4</v>
      </c>
      <c r="I421" s="3">
        <f t="shared" si="39"/>
        <v>-5.5762753166694497E-3</v>
      </c>
      <c r="J421" s="3">
        <f t="shared" si="40"/>
        <v>-9.0729849909745707E-3</v>
      </c>
      <c r="K421" s="3" t="str">
        <f t="shared" si="41"/>
        <v>Normal</v>
      </c>
      <c r="L421" s="4">
        <f>VALUE(A421)</f>
        <v>42002</v>
      </c>
    </row>
    <row r="422" spans="1:12">
      <c r="A422" s="5">
        <v>42003</v>
      </c>
      <c r="B422" s="3">
        <v>310.29998799999998</v>
      </c>
      <c r="C422" s="3">
        <v>90.895698999999993</v>
      </c>
      <c r="D422" s="3">
        <v>311.26998900000001</v>
      </c>
      <c r="E422" s="3">
        <v>49.032856000000002</v>
      </c>
      <c r="F422" s="3">
        <f t="shared" si="36"/>
        <v>2014</v>
      </c>
      <c r="G422" s="3" t="str">
        <f t="shared" si="37"/>
        <v>Dec</v>
      </c>
      <c r="H422" s="3" t="str">
        <f t="shared" si="38"/>
        <v>Q4</v>
      </c>
      <c r="I422" s="3">
        <f t="shared" si="39"/>
        <v>1.6119240069072374E-4</v>
      </c>
      <c r="J422" s="3">
        <f t="shared" si="40"/>
        <v>2.2392139449074762E-2</v>
      </c>
      <c r="K422" s="3" t="str">
        <f t="shared" si="41"/>
        <v>Normal</v>
      </c>
      <c r="L422" s="4">
        <f>VALUE(A422)</f>
        <v>42003</v>
      </c>
    </row>
    <row r="423" spans="1:12">
      <c r="A423" s="5">
        <v>42004</v>
      </c>
      <c r="B423" s="3">
        <v>310.35000600000001</v>
      </c>
      <c r="C423" s="3">
        <v>90.177490000000006</v>
      </c>
      <c r="D423" s="3">
        <v>318.23998999999998</v>
      </c>
      <c r="E423" s="3">
        <v>48.801430000000003</v>
      </c>
      <c r="F423" s="3">
        <f t="shared" si="36"/>
        <v>2014</v>
      </c>
      <c r="G423" s="3" t="str">
        <f t="shared" si="37"/>
        <v>Dec</v>
      </c>
      <c r="H423" s="3" t="str">
        <f t="shared" si="38"/>
        <v>Q4</v>
      </c>
      <c r="I423" s="3">
        <f t="shared" si="39"/>
        <v>-5.8966230533921693E-3</v>
      </c>
      <c r="J423" s="3">
        <f t="shared" si="40"/>
        <v>-9.5211132956608477E-3</v>
      </c>
      <c r="K423" s="3" t="str">
        <f t="shared" si="41"/>
        <v>Normal</v>
      </c>
      <c r="L423" s="4">
        <f>VALUE(A423)</f>
        <v>42004</v>
      </c>
    </row>
    <row r="424" spans="1:12">
      <c r="A424" s="5">
        <v>42006</v>
      </c>
      <c r="B424" s="3">
        <v>308.51998900000001</v>
      </c>
      <c r="C424" s="3">
        <v>90.292411999999999</v>
      </c>
      <c r="D424" s="3">
        <v>315.209991</v>
      </c>
      <c r="E424" s="3">
        <v>49.848571999999997</v>
      </c>
      <c r="F424" s="3">
        <f t="shared" si="36"/>
        <v>2015</v>
      </c>
      <c r="G424" s="3" t="str">
        <f t="shared" si="37"/>
        <v>Jan</v>
      </c>
      <c r="H424" s="3" t="str">
        <f t="shared" si="38"/>
        <v>Q1</v>
      </c>
      <c r="I424" s="3">
        <f t="shared" si="39"/>
        <v>-2.0517267035167749E-2</v>
      </c>
      <c r="J424" s="3">
        <f t="shared" si="40"/>
        <v>-0.12807333572113841</v>
      </c>
      <c r="K424" s="3" t="str">
        <f t="shared" si="41"/>
        <v>High Volatility</v>
      </c>
      <c r="L424" s="4">
        <f>VALUE(A424)</f>
        <v>42006</v>
      </c>
    </row>
    <row r="425" spans="1:12">
      <c r="A425" s="5">
        <v>42009</v>
      </c>
      <c r="B425" s="3">
        <v>302.19000199999999</v>
      </c>
      <c r="C425" s="3">
        <v>91.422379000000006</v>
      </c>
      <c r="D425" s="3">
        <v>274.83999599999999</v>
      </c>
      <c r="E425" s="3">
        <v>47.311427999999999</v>
      </c>
      <c r="F425" s="3">
        <f t="shared" si="36"/>
        <v>2015</v>
      </c>
      <c r="G425" s="3" t="str">
        <f t="shared" si="37"/>
        <v>Jan</v>
      </c>
      <c r="H425" s="3" t="str">
        <f t="shared" si="38"/>
        <v>Q1</v>
      </c>
      <c r="I425" s="3">
        <f t="shared" si="39"/>
        <v>-2.2833293472098375E-2</v>
      </c>
      <c r="J425" s="3">
        <f t="shared" si="40"/>
        <v>2.7033885563002354E-2</v>
      </c>
      <c r="K425" s="3" t="str">
        <f t="shared" si="41"/>
        <v>Normal</v>
      </c>
      <c r="L425" s="4">
        <f>VALUE(A425)</f>
        <v>42009</v>
      </c>
    </row>
    <row r="426" spans="1:12">
      <c r="A426" s="5">
        <v>42010</v>
      </c>
      <c r="B426" s="3">
        <v>295.290009</v>
      </c>
      <c r="C426" s="3">
        <v>90.292411999999999</v>
      </c>
      <c r="D426" s="3">
        <v>282.26998900000001</v>
      </c>
      <c r="E426" s="3">
        <v>46.501427</v>
      </c>
      <c r="F426" s="3">
        <f t="shared" si="36"/>
        <v>2015</v>
      </c>
      <c r="G426" s="3" t="str">
        <f t="shared" si="37"/>
        <v>Jan</v>
      </c>
      <c r="H426" s="3" t="str">
        <f t="shared" si="38"/>
        <v>Q1</v>
      </c>
      <c r="I426" s="3">
        <f t="shared" si="39"/>
        <v>1.0599762621836574E-2</v>
      </c>
      <c r="J426" s="3">
        <f t="shared" si="40"/>
        <v>3.2132381597251472E-2</v>
      </c>
      <c r="K426" s="3" t="str">
        <f t="shared" si="41"/>
        <v>Normal</v>
      </c>
      <c r="L426" s="4">
        <f>VALUE(A426)</f>
        <v>42010</v>
      </c>
    </row>
    <row r="427" spans="1:12">
      <c r="A427" s="5">
        <v>42011</v>
      </c>
      <c r="B427" s="3">
        <v>298.42001299999998</v>
      </c>
      <c r="C427" s="3">
        <v>93.366309999999999</v>
      </c>
      <c r="D427" s="3">
        <v>291.33999599999999</v>
      </c>
      <c r="E427" s="3">
        <v>46.742859000000003</v>
      </c>
      <c r="F427" s="3">
        <f t="shared" si="36"/>
        <v>2015</v>
      </c>
      <c r="G427" s="3" t="str">
        <f t="shared" si="37"/>
        <v>Jan</v>
      </c>
      <c r="H427" s="3" t="str">
        <f t="shared" si="38"/>
        <v>Q1</v>
      </c>
      <c r="I427" s="3">
        <f t="shared" si="39"/>
        <v>6.8359289294716947E-3</v>
      </c>
      <c r="J427" s="3">
        <f t="shared" si="40"/>
        <v>-2.9690375913920149E-2</v>
      </c>
      <c r="K427" s="3" t="str">
        <f t="shared" si="41"/>
        <v>Normal</v>
      </c>
      <c r="L427" s="4">
        <f>VALUE(A427)</f>
        <v>42011</v>
      </c>
    </row>
    <row r="428" spans="1:12">
      <c r="A428" s="5">
        <v>42012</v>
      </c>
      <c r="B428" s="3">
        <v>300.459991</v>
      </c>
      <c r="C428" s="3">
        <v>96.507239999999996</v>
      </c>
      <c r="D428" s="3">
        <v>282.69000199999999</v>
      </c>
      <c r="E428" s="3">
        <v>47.779998999999997</v>
      </c>
      <c r="F428" s="3">
        <f t="shared" si="36"/>
        <v>2015</v>
      </c>
      <c r="G428" s="3" t="str">
        <f t="shared" si="37"/>
        <v>Jan</v>
      </c>
      <c r="H428" s="3" t="str">
        <f t="shared" si="38"/>
        <v>Q1</v>
      </c>
      <c r="I428" s="3">
        <f t="shared" si="39"/>
        <v>-1.1748645762290453E-2</v>
      </c>
      <c r="J428" s="3">
        <f t="shared" si="40"/>
        <v>1.8677699821870716E-2</v>
      </c>
      <c r="K428" s="3" t="str">
        <f t="shared" si="41"/>
        <v>Normal</v>
      </c>
      <c r="L428" s="4">
        <f>VALUE(A428)</f>
        <v>42012</v>
      </c>
    </row>
    <row r="429" spans="1:12">
      <c r="A429" s="5">
        <v>42013</v>
      </c>
      <c r="B429" s="3">
        <v>296.92999300000002</v>
      </c>
      <c r="C429" s="3">
        <v>96.23912</v>
      </c>
      <c r="D429" s="3">
        <v>287.97000100000002</v>
      </c>
      <c r="E429" s="3">
        <v>47.041428000000003</v>
      </c>
      <c r="F429" s="3">
        <f t="shared" si="36"/>
        <v>2015</v>
      </c>
      <c r="G429" s="3" t="str">
        <f t="shared" si="37"/>
        <v>Jan</v>
      </c>
      <c r="H429" s="3" t="str">
        <f t="shared" si="38"/>
        <v>Q1</v>
      </c>
      <c r="I429" s="3">
        <f t="shared" si="39"/>
        <v>-1.8590203516422838E-2</v>
      </c>
      <c r="J429" s="3">
        <f t="shared" si="40"/>
        <v>-6.4729013214122971E-2</v>
      </c>
      <c r="K429" s="3" t="str">
        <f t="shared" si="41"/>
        <v>High Volatility</v>
      </c>
      <c r="L429" s="4">
        <f>VALUE(A429)</f>
        <v>42013</v>
      </c>
    </row>
    <row r="430" spans="1:12">
      <c r="A430" s="5">
        <v>42016</v>
      </c>
      <c r="B430" s="3">
        <v>291.41000400000001</v>
      </c>
      <c r="C430" s="3">
        <v>97.790451000000004</v>
      </c>
      <c r="D430" s="3">
        <v>269.32998700000002</v>
      </c>
      <c r="E430" s="3">
        <v>45.547142000000001</v>
      </c>
      <c r="F430" s="3">
        <f t="shared" si="36"/>
        <v>2015</v>
      </c>
      <c r="G430" s="3" t="str">
        <f t="shared" si="37"/>
        <v>Jan</v>
      </c>
      <c r="H430" s="3" t="str">
        <f t="shared" si="38"/>
        <v>Q1</v>
      </c>
      <c r="I430" s="3">
        <f t="shared" si="39"/>
        <v>1.1427150592949315E-2</v>
      </c>
      <c r="J430" s="3">
        <f t="shared" si="40"/>
        <v>-0.17836853049712584</v>
      </c>
      <c r="K430" s="3" t="str">
        <f t="shared" si="41"/>
        <v>High Volatility</v>
      </c>
      <c r="L430" s="4">
        <f>VALUE(A430)</f>
        <v>42016</v>
      </c>
    </row>
    <row r="431" spans="1:12">
      <c r="A431" s="5">
        <v>42017</v>
      </c>
      <c r="B431" s="3">
        <v>294.73998999999998</v>
      </c>
      <c r="C431" s="3">
        <v>97.388251999999994</v>
      </c>
      <c r="D431" s="3">
        <v>221.28999300000001</v>
      </c>
      <c r="E431" s="3">
        <v>46.255713999999998</v>
      </c>
      <c r="F431" s="3">
        <f t="shared" si="36"/>
        <v>2015</v>
      </c>
      <c r="G431" s="3" t="str">
        <f t="shared" si="37"/>
        <v>Jan</v>
      </c>
      <c r="H431" s="3" t="str">
        <f t="shared" si="38"/>
        <v>Q1</v>
      </c>
      <c r="I431" s="3">
        <f t="shared" si="39"/>
        <v>-4.9874501251084662E-3</v>
      </c>
      <c r="J431" s="3">
        <f t="shared" si="40"/>
        <v>-0.25473359294651887</v>
      </c>
      <c r="K431" s="3" t="str">
        <f t="shared" si="41"/>
        <v>High Volatility</v>
      </c>
      <c r="L431" s="4">
        <f>VALUE(A431)</f>
        <v>42017</v>
      </c>
    </row>
    <row r="432" spans="1:12">
      <c r="A432" s="5">
        <v>42018</v>
      </c>
      <c r="B432" s="3">
        <v>293.26998900000001</v>
      </c>
      <c r="C432" s="3">
        <v>94.716530000000006</v>
      </c>
      <c r="D432" s="3">
        <v>164.91999799999999</v>
      </c>
      <c r="E432" s="3">
        <v>46.32</v>
      </c>
      <c r="F432" s="3">
        <f t="shared" si="36"/>
        <v>2015</v>
      </c>
      <c r="G432" s="3" t="str">
        <f t="shared" si="37"/>
        <v>Jan</v>
      </c>
      <c r="H432" s="3" t="str">
        <f t="shared" si="38"/>
        <v>Q1</v>
      </c>
      <c r="I432" s="3">
        <f t="shared" si="39"/>
        <v>-2.1550029791831151E-2</v>
      </c>
      <c r="J432" s="3">
        <f t="shared" si="40"/>
        <v>0.27201068120313715</v>
      </c>
      <c r="K432" s="3" t="str">
        <f t="shared" si="41"/>
        <v>High Volatility</v>
      </c>
      <c r="L432" s="4">
        <f>VALUE(A432)</f>
        <v>42018</v>
      </c>
    </row>
    <row r="433" spans="1:12">
      <c r="A433" s="5">
        <v>42019</v>
      </c>
      <c r="B433" s="3">
        <v>286.95001200000002</v>
      </c>
      <c r="C433" s="3">
        <v>92.724723999999995</v>
      </c>
      <c r="D433" s="3">
        <v>209.779999</v>
      </c>
      <c r="E433" s="3">
        <v>46.251427</v>
      </c>
      <c r="F433" s="3">
        <f t="shared" si="36"/>
        <v>2015</v>
      </c>
      <c r="G433" s="3" t="str">
        <f t="shared" si="37"/>
        <v>Jan</v>
      </c>
      <c r="H433" s="3" t="str">
        <f t="shared" si="38"/>
        <v>Q1</v>
      </c>
      <c r="I433" s="3">
        <f t="shared" si="39"/>
        <v>1.3207798715826372E-2</v>
      </c>
      <c r="J433" s="3">
        <f t="shared" si="40"/>
        <v>-1.3633334987288331E-2</v>
      </c>
      <c r="K433" s="3" t="str">
        <f t="shared" si="41"/>
        <v>Normal</v>
      </c>
      <c r="L433" s="4">
        <f>VALUE(A433)</f>
        <v>42019</v>
      </c>
    </row>
    <row r="434" spans="1:12">
      <c r="A434" s="5">
        <v>42020</v>
      </c>
      <c r="B434" s="3">
        <v>290.73998999999998</v>
      </c>
      <c r="C434" s="3">
        <v>94.314339000000004</v>
      </c>
      <c r="D434" s="3">
        <v>206.91999799999999</v>
      </c>
      <c r="E434" s="3">
        <v>48.191428999999999</v>
      </c>
      <c r="F434" s="3">
        <f t="shared" si="36"/>
        <v>2015</v>
      </c>
      <c r="G434" s="3" t="str">
        <f t="shared" si="37"/>
        <v>Jan</v>
      </c>
      <c r="H434" s="3" t="str">
        <f t="shared" si="38"/>
        <v>Q1</v>
      </c>
      <c r="I434" s="3">
        <f t="shared" si="39"/>
        <v>-4.4713078513897763E-3</v>
      </c>
      <c r="J434" s="3">
        <f t="shared" si="40"/>
        <v>1.7543036125488517E-2</v>
      </c>
      <c r="K434" s="3" t="str">
        <f t="shared" si="41"/>
        <v>Normal</v>
      </c>
      <c r="L434" s="4">
        <f>VALUE(A434)</f>
        <v>42020</v>
      </c>
    </row>
    <row r="435" spans="1:12">
      <c r="A435" s="5">
        <v>42024</v>
      </c>
      <c r="B435" s="3">
        <v>289.44000199999999</v>
      </c>
      <c r="C435" s="3">
        <v>93.375884999999997</v>
      </c>
      <c r="D435" s="3">
        <v>210.550003</v>
      </c>
      <c r="E435" s="3">
        <v>49.828570999999997</v>
      </c>
      <c r="F435" s="3">
        <f t="shared" si="36"/>
        <v>2015</v>
      </c>
      <c r="G435" s="3" t="str">
        <f t="shared" si="37"/>
        <v>Jan</v>
      </c>
      <c r="H435" s="3" t="str">
        <f t="shared" si="38"/>
        <v>Q1</v>
      </c>
      <c r="I435" s="3">
        <f t="shared" si="39"/>
        <v>2.6983132759928627E-2</v>
      </c>
      <c r="J435" s="3">
        <f t="shared" si="40"/>
        <v>8.3685560431932121E-2</v>
      </c>
      <c r="K435" s="3" t="str">
        <f t="shared" si="41"/>
        <v>High Volatility</v>
      </c>
      <c r="L435" s="4">
        <f>VALUE(A435)</f>
        <v>42024</v>
      </c>
    </row>
    <row r="436" spans="1:12">
      <c r="A436" s="5">
        <v>42025</v>
      </c>
      <c r="B436" s="3">
        <v>297.25</v>
      </c>
      <c r="C436" s="3">
        <v>93.251411000000004</v>
      </c>
      <c r="D436" s="3">
        <v>228.16999799999999</v>
      </c>
      <c r="E436" s="3">
        <v>58.468570999999997</v>
      </c>
      <c r="F436" s="3">
        <f t="shared" si="36"/>
        <v>2015</v>
      </c>
      <c r="G436" s="3" t="str">
        <f t="shared" si="37"/>
        <v>Jan</v>
      </c>
      <c r="H436" s="3" t="str">
        <f t="shared" si="38"/>
        <v>Q1</v>
      </c>
      <c r="I436" s="3">
        <f t="shared" si="39"/>
        <v>4.3969746005046176E-2</v>
      </c>
      <c r="J436" s="3">
        <f t="shared" si="40"/>
        <v>1.9853613707793448E-2</v>
      </c>
      <c r="K436" s="3" t="str">
        <f t="shared" si="41"/>
        <v>Normal</v>
      </c>
      <c r="L436" s="4">
        <f>VALUE(A436)</f>
        <v>42025</v>
      </c>
    </row>
    <row r="437" spans="1:12">
      <c r="A437" s="5">
        <v>42026</v>
      </c>
      <c r="B437" s="3">
        <v>310.32000699999998</v>
      </c>
      <c r="C437" s="3">
        <v>94.812302000000003</v>
      </c>
      <c r="D437" s="3">
        <v>232.699997</v>
      </c>
      <c r="E437" s="3">
        <v>61.205714999999998</v>
      </c>
      <c r="F437" s="3">
        <f t="shared" si="36"/>
        <v>2015</v>
      </c>
      <c r="G437" s="3" t="str">
        <f t="shared" si="37"/>
        <v>Jan</v>
      </c>
      <c r="H437" s="3" t="str">
        <f t="shared" si="38"/>
        <v>Q1</v>
      </c>
      <c r="I437" s="3">
        <f t="shared" si="39"/>
        <v>6.6705592720614692E-3</v>
      </c>
      <c r="J437" s="3">
        <f t="shared" si="40"/>
        <v>-2.2776063894835532E-3</v>
      </c>
      <c r="K437" s="3" t="str">
        <f t="shared" si="41"/>
        <v>Normal</v>
      </c>
      <c r="L437" s="4">
        <f>VALUE(A437)</f>
        <v>42026</v>
      </c>
    </row>
    <row r="438" spans="1:12">
      <c r="A438" s="5">
        <v>42027</v>
      </c>
      <c r="B438" s="3">
        <v>312.39001500000001</v>
      </c>
      <c r="C438" s="3">
        <v>93.940871999999999</v>
      </c>
      <c r="D438" s="3">
        <v>232.16999799999999</v>
      </c>
      <c r="E438" s="3">
        <v>62.494286000000002</v>
      </c>
      <c r="F438" s="3">
        <f t="shared" si="36"/>
        <v>2015</v>
      </c>
      <c r="G438" s="3" t="str">
        <f t="shared" si="37"/>
        <v>Jan</v>
      </c>
      <c r="H438" s="3" t="str">
        <f t="shared" si="38"/>
        <v>Q1</v>
      </c>
      <c r="I438" s="3">
        <f t="shared" si="39"/>
        <v>-8.7391109475761907E-3</v>
      </c>
      <c r="J438" s="3">
        <f t="shared" si="40"/>
        <v>0.15940903354790928</v>
      </c>
      <c r="K438" s="3" t="str">
        <f t="shared" si="41"/>
        <v>High Volatility</v>
      </c>
      <c r="L438" s="4">
        <f>VALUE(A438)</f>
        <v>42027</v>
      </c>
    </row>
    <row r="439" spans="1:12">
      <c r="A439" s="5">
        <v>42030</v>
      </c>
      <c r="B439" s="3">
        <v>309.66000400000001</v>
      </c>
      <c r="C439" s="3">
        <v>94.553741000000002</v>
      </c>
      <c r="D439" s="3">
        <v>269.17999300000002</v>
      </c>
      <c r="E439" s="3">
        <v>63.794285000000002</v>
      </c>
      <c r="F439" s="3">
        <f t="shared" si="36"/>
        <v>2015</v>
      </c>
      <c r="G439" s="3" t="str">
        <f t="shared" si="37"/>
        <v>Jan</v>
      </c>
      <c r="H439" s="3" t="str">
        <f t="shared" si="38"/>
        <v>Q1</v>
      </c>
      <c r="I439" s="3">
        <f t="shared" si="39"/>
        <v>-9.3974163999559161E-3</v>
      </c>
      <c r="J439" s="3">
        <f t="shared" si="40"/>
        <v>-2.1955584195293497E-2</v>
      </c>
      <c r="K439" s="3" t="str">
        <f t="shared" si="41"/>
        <v>Normal</v>
      </c>
      <c r="L439" s="4">
        <f>VALUE(A439)</f>
        <v>42030</v>
      </c>
    </row>
    <row r="440" spans="1:12">
      <c r="A440" s="5">
        <v>42031</v>
      </c>
      <c r="B440" s="3">
        <v>306.75</v>
      </c>
      <c r="C440" s="3">
        <v>94.735686999999999</v>
      </c>
      <c r="D440" s="3">
        <v>263.26998900000001</v>
      </c>
      <c r="E440" s="3">
        <v>64.881432000000004</v>
      </c>
      <c r="F440" s="3">
        <f t="shared" si="36"/>
        <v>2015</v>
      </c>
      <c r="G440" s="3" t="str">
        <f t="shared" si="37"/>
        <v>Jan</v>
      </c>
      <c r="H440" s="3" t="str">
        <f t="shared" si="38"/>
        <v>Q1</v>
      </c>
      <c r="I440" s="3">
        <f t="shared" si="39"/>
        <v>-9.2583406682966093E-3</v>
      </c>
      <c r="J440" s="3">
        <f t="shared" si="40"/>
        <v>-0.10293611931590127</v>
      </c>
      <c r="K440" s="3" t="str">
        <f t="shared" si="41"/>
        <v>High Volatility</v>
      </c>
      <c r="L440" s="4">
        <f>VALUE(A440)</f>
        <v>42031</v>
      </c>
    </row>
    <row r="441" spans="1:12">
      <c r="A441" s="5">
        <v>42032</v>
      </c>
      <c r="B441" s="3">
        <v>303.91000400000001</v>
      </c>
      <c r="C441" s="3">
        <v>95.654967999999997</v>
      </c>
      <c r="D441" s="3">
        <v>236.16999799999999</v>
      </c>
      <c r="E441" s="3">
        <v>63.208571999999997</v>
      </c>
      <c r="F441" s="3">
        <f t="shared" si="36"/>
        <v>2015</v>
      </c>
      <c r="G441" s="3" t="str">
        <f t="shared" si="37"/>
        <v>Jan</v>
      </c>
      <c r="H441" s="3" t="str">
        <f t="shared" si="38"/>
        <v>Q1</v>
      </c>
      <c r="I441" s="3">
        <f t="shared" si="39"/>
        <v>2.5895807628629298E-2</v>
      </c>
      <c r="J441" s="3">
        <f t="shared" si="40"/>
        <v>-9.2306093850244107E-3</v>
      </c>
      <c r="K441" s="3" t="str">
        <f t="shared" si="41"/>
        <v>Normal</v>
      </c>
      <c r="L441" s="4">
        <f>VALUE(A441)</f>
        <v>42032</v>
      </c>
    </row>
    <row r="442" spans="1:12">
      <c r="A442" s="5">
        <v>42033</v>
      </c>
      <c r="B442" s="3">
        <v>311.77999899999998</v>
      </c>
      <c r="C442" s="3">
        <v>96.995627999999996</v>
      </c>
      <c r="D442" s="3">
        <v>233.990005</v>
      </c>
      <c r="E442" s="3">
        <v>63.400002000000001</v>
      </c>
      <c r="F442" s="3">
        <f t="shared" si="36"/>
        <v>2015</v>
      </c>
      <c r="G442" s="3" t="str">
        <f t="shared" si="37"/>
        <v>Jan</v>
      </c>
      <c r="H442" s="3" t="str">
        <f t="shared" si="38"/>
        <v>Q1</v>
      </c>
      <c r="I442" s="3">
        <f t="shared" si="39"/>
        <v>0.13711591550810159</v>
      </c>
      <c r="J442" s="3">
        <f t="shared" si="40"/>
        <v>-9.1884651226875388E-3</v>
      </c>
      <c r="K442" s="3" t="str">
        <f t="shared" si="41"/>
        <v>Normal</v>
      </c>
      <c r="L442" s="4">
        <f>VALUE(A442)</f>
        <v>42033</v>
      </c>
    </row>
    <row r="443" spans="1:12">
      <c r="A443" s="5">
        <v>42034</v>
      </c>
      <c r="B443" s="3">
        <v>354.52999899999998</v>
      </c>
      <c r="C443" s="3">
        <v>94.850594000000001</v>
      </c>
      <c r="D443" s="3">
        <v>231.83999600000001</v>
      </c>
      <c r="E443" s="3">
        <v>63.114285000000002</v>
      </c>
      <c r="F443" s="3">
        <f t="shared" si="36"/>
        <v>2015</v>
      </c>
      <c r="G443" s="3" t="str">
        <f t="shared" si="37"/>
        <v>Jan</v>
      </c>
      <c r="H443" s="3" t="str">
        <f t="shared" si="38"/>
        <v>Q1</v>
      </c>
      <c r="I443" s="3">
        <f t="shared" si="39"/>
        <v>2.8037125287104548E-2</v>
      </c>
      <c r="J443" s="3">
        <f t="shared" si="40"/>
        <v>3.0279525194608772E-2</v>
      </c>
      <c r="K443" s="3" t="str">
        <f t="shared" si="41"/>
        <v>Normal</v>
      </c>
      <c r="L443" s="4">
        <f>VALUE(A443)</f>
        <v>42034</v>
      </c>
    </row>
    <row r="444" spans="1:12">
      <c r="A444" s="5">
        <v>42037</v>
      </c>
      <c r="B444" s="3">
        <v>364.47000100000002</v>
      </c>
      <c r="C444" s="3">
        <v>93.921729999999997</v>
      </c>
      <c r="D444" s="3">
        <v>238.86000100000001</v>
      </c>
      <c r="E444" s="3">
        <v>63.009998000000003</v>
      </c>
      <c r="F444" s="3">
        <f t="shared" si="36"/>
        <v>2015</v>
      </c>
      <c r="G444" s="3" t="str">
        <f t="shared" si="37"/>
        <v>Feb</v>
      </c>
      <c r="H444" s="3" t="str">
        <f t="shared" si="38"/>
        <v>Q1</v>
      </c>
      <c r="I444" s="3">
        <f t="shared" si="39"/>
        <v>-2.5242489024495597E-3</v>
      </c>
      <c r="J444" s="3">
        <f t="shared" si="40"/>
        <v>-4.7936016712986716E-2</v>
      </c>
      <c r="K444" s="3" t="str">
        <f t="shared" si="41"/>
        <v>Normal</v>
      </c>
      <c r="L444" s="4">
        <f>VALUE(A444)</f>
        <v>42037</v>
      </c>
    </row>
    <row r="445" spans="1:12">
      <c r="A445" s="5">
        <v>42038</v>
      </c>
      <c r="B445" s="3">
        <v>363.54998799999998</v>
      </c>
      <c r="C445" s="3">
        <v>95.157043000000002</v>
      </c>
      <c r="D445" s="3">
        <v>227.41000399999999</v>
      </c>
      <c r="E445" s="3">
        <v>65.274283999999994</v>
      </c>
      <c r="F445" s="3">
        <f t="shared" si="36"/>
        <v>2015</v>
      </c>
      <c r="G445" s="3" t="str">
        <f t="shared" si="37"/>
        <v>Feb</v>
      </c>
      <c r="H445" s="3" t="str">
        <f t="shared" si="38"/>
        <v>Q1</v>
      </c>
      <c r="I445" s="3">
        <f t="shared" si="39"/>
        <v>3.3008170529770869E-3</v>
      </c>
      <c r="J445" s="3">
        <f t="shared" si="40"/>
        <v>-3.6498042539939409E-3</v>
      </c>
      <c r="K445" s="3" t="str">
        <f t="shared" si="41"/>
        <v>Normal</v>
      </c>
      <c r="L445" s="4">
        <f>VALUE(A445)</f>
        <v>42038</v>
      </c>
    </row>
    <row r="446" spans="1:12">
      <c r="A446" s="5">
        <v>42039</v>
      </c>
      <c r="B446" s="3">
        <v>364.75</v>
      </c>
      <c r="C446" s="3">
        <v>95.492194999999995</v>
      </c>
      <c r="D446" s="3">
        <v>226.58000200000001</v>
      </c>
      <c r="E446" s="3">
        <v>64.101425000000006</v>
      </c>
      <c r="F446" s="3">
        <f t="shared" si="36"/>
        <v>2015</v>
      </c>
      <c r="G446" s="3" t="str">
        <f t="shared" si="37"/>
        <v>Feb</v>
      </c>
      <c r="H446" s="3" t="str">
        <f t="shared" si="38"/>
        <v>Q1</v>
      </c>
      <c r="I446" s="3">
        <f t="shared" si="39"/>
        <v>2.5058300205620304E-2</v>
      </c>
      <c r="J446" s="3">
        <f t="shared" si="40"/>
        <v>-4.4399319936452325E-2</v>
      </c>
      <c r="K446" s="3" t="str">
        <f t="shared" si="41"/>
        <v>Normal</v>
      </c>
      <c r="L446" s="4">
        <f>VALUE(A446)</f>
        <v>42039</v>
      </c>
    </row>
    <row r="447" spans="1:12">
      <c r="A447" s="5">
        <v>42040</v>
      </c>
      <c r="B447" s="3">
        <v>373.89001500000001</v>
      </c>
      <c r="C447" s="3">
        <v>95.511336999999997</v>
      </c>
      <c r="D447" s="3">
        <v>216.520004</v>
      </c>
      <c r="E447" s="3">
        <v>64.129997000000003</v>
      </c>
      <c r="F447" s="3">
        <f t="shared" si="36"/>
        <v>2015</v>
      </c>
      <c r="G447" s="3" t="str">
        <f t="shared" si="37"/>
        <v>Feb</v>
      </c>
      <c r="H447" s="3" t="str">
        <f t="shared" si="38"/>
        <v>Q1</v>
      </c>
      <c r="I447" s="3">
        <f t="shared" si="39"/>
        <v>1.0430447039351128E-3</v>
      </c>
      <c r="J447" s="3">
        <f t="shared" si="40"/>
        <v>2.9743224094896978E-2</v>
      </c>
      <c r="K447" s="3" t="str">
        <f t="shared" si="41"/>
        <v>Normal</v>
      </c>
      <c r="L447" s="4">
        <f>VALUE(A447)</f>
        <v>42040</v>
      </c>
    </row>
    <row r="448" spans="1:12">
      <c r="A448" s="5">
        <v>42041</v>
      </c>
      <c r="B448" s="3">
        <v>374.27999899999998</v>
      </c>
      <c r="C448" s="3">
        <v>95.626266000000001</v>
      </c>
      <c r="D448" s="3">
        <v>222.96000699999999</v>
      </c>
      <c r="E448" s="3">
        <v>63.48</v>
      </c>
      <c r="F448" s="3">
        <f t="shared" si="36"/>
        <v>2015</v>
      </c>
      <c r="G448" s="3" t="str">
        <f t="shared" si="37"/>
        <v>Feb</v>
      </c>
      <c r="H448" s="3" t="str">
        <f t="shared" si="38"/>
        <v>Q1</v>
      </c>
      <c r="I448" s="3">
        <f t="shared" si="39"/>
        <v>-9.9390857377873627E-3</v>
      </c>
      <c r="J448" s="3">
        <f t="shared" si="40"/>
        <v>-1.1751035691347E-2</v>
      </c>
      <c r="K448" s="3" t="str">
        <f t="shared" si="41"/>
        <v>Normal</v>
      </c>
      <c r="L448" s="4">
        <f>VALUE(A448)</f>
        <v>42041</v>
      </c>
    </row>
    <row r="449" spans="1:12">
      <c r="A449" s="5">
        <v>42044</v>
      </c>
      <c r="B449" s="3">
        <v>370.55999800000001</v>
      </c>
      <c r="C449" s="3">
        <v>94.448409999999996</v>
      </c>
      <c r="D449" s="3">
        <v>220.33999600000001</v>
      </c>
      <c r="E449" s="3">
        <v>63.295715000000001</v>
      </c>
      <c r="F449" s="3">
        <f t="shared" si="36"/>
        <v>2015</v>
      </c>
      <c r="G449" s="3" t="str">
        <f t="shared" si="37"/>
        <v>Feb</v>
      </c>
      <c r="H449" s="3" t="str">
        <f t="shared" si="38"/>
        <v>Q1</v>
      </c>
      <c r="I449" s="3">
        <f t="shared" si="39"/>
        <v>6.5846341028963215E-3</v>
      </c>
      <c r="J449" s="3">
        <f t="shared" si="40"/>
        <v>-3.0407461748343722E-3</v>
      </c>
      <c r="K449" s="3" t="str">
        <f t="shared" si="41"/>
        <v>Normal</v>
      </c>
      <c r="L449" s="4">
        <f>VALUE(A449)</f>
        <v>42044</v>
      </c>
    </row>
    <row r="450" spans="1:12">
      <c r="A450" s="5">
        <v>42045</v>
      </c>
      <c r="B450" s="3">
        <v>373</v>
      </c>
      <c r="C450" s="3">
        <v>96.650863999999999</v>
      </c>
      <c r="D450" s="3">
        <v>219.66999799999999</v>
      </c>
      <c r="E450" s="3">
        <v>64.849997999999999</v>
      </c>
      <c r="F450" s="3">
        <f t="shared" si="36"/>
        <v>2015</v>
      </c>
      <c r="G450" s="3" t="str">
        <f t="shared" si="37"/>
        <v>Feb</v>
      </c>
      <c r="H450" s="3" t="str">
        <f t="shared" si="38"/>
        <v>Q1</v>
      </c>
      <c r="I450" s="3">
        <f t="shared" si="39"/>
        <v>5.7373056300268239E-3</v>
      </c>
      <c r="J450" s="3">
        <f t="shared" si="40"/>
        <v>-3.823899520406902E-3</v>
      </c>
      <c r="K450" s="3" t="str">
        <f t="shared" si="41"/>
        <v>Normal</v>
      </c>
      <c r="L450" s="4">
        <f>VALUE(A450)</f>
        <v>42045</v>
      </c>
    </row>
    <row r="451" spans="1:12">
      <c r="A451" s="5">
        <v>42046</v>
      </c>
      <c r="B451" s="3">
        <v>375.14001500000001</v>
      </c>
      <c r="C451" s="3">
        <v>96.191246000000007</v>
      </c>
      <c r="D451" s="3">
        <v>218.83000200000001</v>
      </c>
      <c r="E451" s="3">
        <v>64.984283000000005</v>
      </c>
      <c r="F451" s="3">
        <f t="shared" ref="F451:F514" si="42">YEAR(A451)</f>
        <v>2015</v>
      </c>
      <c r="G451" s="3" t="str">
        <f t="shared" ref="G451:G514" si="43">TEXT(A451,"MMM")</f>
        <v>Feb</v>
      </c>
      <c r="H451" s="3" t="str">
        <f t="shared" ref="H451:H514" si="44">"Q"&amp;ROUNDUP(MONTH(A451)/3,0)</f>
        <v>Q1</v>
      </c>
      <c r="I451" s="3">
        <f t="shared" ref="I451:I514" si="45">(B452-B451)/B451</f>
        <v>5.4113075620578028E-3</v>
      </c>
      <c r="J451" s="3">
        <f t="shared" ref="J451:J514" si="46">(D452-D451)/D451</f>
        <v>1.3526440492378198E-2</v>
      </c>
      <c r="K451" s="3" t="str">
        <f t="shared" ref="K451:K514" si="47">IF(J451="","",IF(ABS(J451)&gt;0.05,"High Volatility","Normal"))</f>
        <v>Normal</v>
      </c>
      <c r="L451" s="4">
        <f>VALUE(A451)</f>
        <v>42046</v>
      </c>
    </row>
    <row r="452" spans="1:12">
      <c r="A452" s="5">
        <v>42047</v>
      </c>
      <c r="B452" s="3">
        <v>377.17001299999998</v>
      </c>
      <c r="C452" s="3">
        <v>96.296584999999993</v>
      </c>
      <c r="D452" s="3">
        <v>221.78999300000001</v>
      </c>
      <c r="E452" s="3">
        <v>65.247146999999998</v>
      </c>
      <c r="F452" s="3">
        <f t="shared" si="42"/>
        <v>2015</v>
      </c>
      <c r="G452" s="3" t="str">
        <f t="shared" si="43"/>
        <v>Feb</v>
      </c>
      <c r="H452" s="3" t="str">
        <f t="shared" si="44"/>
        <v>Q1</v>
      </c>
      <c r="I452" s="3">
        <f t="shared" si="45"/>
        <v>1.235510204783972E-2</v>
      </c>
      <c r="J452" s="3">
        <f t="shared" si="46"/>
        <v>6.4836130816776666E-2</v>
      </c>
      <c r="K452" s="3" t="str">
        <f t="shared" si="47"/>
        <v>High Volatility</v>
      </c>
      <c r="L452" s="4">
        <f>VALUE(A452)</f>
        <v>42047</v>
      </c>
    </row>
    <row r="453" spans="1:12">
      <c r="A453" s="5">
        <v>42048</v>
      </c>
      <c r="B453" s="3">
        <v>381.82998700000002</v>
      </c>
      <c r="C453" s="3">
        <v>95.760329999999996</v>
      </c>
      <c r="D453" s="3">
        <v>236.16999799999999</v>
      </c>
      <c r="E453" s="3">
        <v>66.585716000000005</v>
      </c>
      <c r="F453" s="3">
        <f t="shared" si="42"/>
        <v>2015</v>
      </c>
      <c r="G453" s="3" t="str">
        <f t="shared" si="43"/>
        <v>Feb</v>
      </c>
      <c r="H453" s="3" t="str">
        <f t="shared" si="44"/>
        <v>Q1</v>
      </c>
      <c r="I453" s="3">
        <f t="shared" si="45"/>
        <v>-1.6761370813969077E-2</v>
      </c>
      <c r="J453" s="3">
        <f t="shared" si="46"/>
        <v>2.9766689501348108E-2</v>
      </c>
      <c r="K453" s="3" t="str">
        <f t="shared" si="47"/>
        <v>Normal</v>
      </c>
      <c r="L453" s="4">
        <f>VALUE(A453)</f>
        <v>42048</v>
      </c>
    </row>
    <row r="454" spans="1:12">
      <c r="A454" s="5">
        <v>42052</v>
      </c>
      <c r="B454" s="3">
        <v>375.42999300000002</v>
      </c>
      <c r="C454" s="3">
        <v>96.401900999999995</v>
      </c>
      <c r="D454" s="3">
        <v>243.199997</v>
      </c>
      <c r="E454" s="3">
        <v>67.137146000000001</v>
      </c>
      <c r="F454" s="3">
        <f t="shared" si="42"/>
        <v>2015</v>
      </c>
      <c r="G454" s="3" t="str">
        <f t="shared" si="43"/>
        <v>Feb</v>
      </c>
      <c r="H454" s="3" t="str">
        <f t="shared" si="44"/>
        <v>Q1</v>
      </c>
      <c r="I454" s="3">
        <f t="shared" si="45"/>
        <v>-5.4870363007997799E-3</v>
      </c>
      <c r="J454" s="3">
        <f t="shared" si="46"/>
        <v>-3.2894737247879162E-2</v>
      </c>
      <c r="K454" s="3" t="str">
        <f t="shared" si="47"/>
        <v>Normal</v>
      </c>
      <c r="L454" s="4">
        <f>VALUE(A454)</f>
        <v>42052</v>
      </c>
    </row>
    <row r="455" spans="1:12">
      <c r="A455" s="5">
        <v>42053</v>
      </c>
      <c r="B455" s="3">
        <v>373.36999500000002</v>
      </c>
      <c r="C455" s="3">
        <v>97.531897999999998</v>
      </c>
      <c r="D455" s="3">
        <v>235.199997</v>
      </c>
      <c r="E455" s="3">
        <v>67.865714999999994</v>
      </c>
      <c r="F455" s="3">
        <f t="shared" si="42"/>
        <v>2015</v>
      </c>
      <c r="G455" s="3" t="str">
        <f t="shared" si="43"/>
        <v>Feb</v>
      </c>
      <c r="H455" s="3" t="str">
        <f t="shared" si="44"/>
        <v>Q1</v>
      </c>
      <c r="I455" s="3">
        <f t="shared" si="45"/>
        <v>1.5078889775275012E-2</v>
      </c>
      <c r="J455" s="3">
        <f t="shared" si="46"/>
        <v>2.8571433187560783E-2</v>
      </c>
      <c r="K455" s="3" t="str">
        <f t="shared" si="47"/>
        <v>Normal</v>
      </c>
      <c r="L455" s="4">
        <f>VALUE(A455)</f>
        <v>42053</v>
      </c>
    </row>
    <row r="456" spans="1:12">
      <c r="A456" s="5">
        <v>42054</v>
      </c>
      <c r="B456" s="3">
        <v>379</v>
      </c>
      <c r="C456" s="3">
        <v>97.436119000000005</v>
      </c>
      <c r="D456" s="3">
        <v>241.91999799999999</v>
      </c>
      <c r="E456" s="3">
        <v>67.800003000000004</v>
      </c>
      <c r="F456" s="3">
        <f t="shared" si="42"/>
        <v>2015</v>
      </c>
      <c r="G456" s="3" t="str">
        <f t="shared" si="43"/>
        <v>Feb</v>
      </c>
      <c r="H456" s="3" t="str">
        <f t="shared" si="44"/>
        <v>Q1</v>
      </c>
      <c r="I456" s="3">
        <f t="shared" si="45"/>
        <v>1.2295525065963099E-2</v>
      </c>
      <c r="J456" s="3">
        <f t="shared" si="46"/>
        <v>1.074737938779252E-2</v>
      </c>
      <c r="K456" s="3" t="str">
        <f t="shared" si="47"/>
        <v>Normal</v>
      </c>
      <c r="L456" s="4">
        <f>VALUE(A456)</f>
        <v>42054</v>
      </c>
    </row>
    <row r="457" spans="1:12">
      <c r="A457" s="5">
        <v>42055</v>
      </c>
      <c r="B457" s="3">
        <v>383.66000400000001</v>
      </c>
      <c r="C457" s="3">
        <v>98.154319999999998</v>
      </c>
      <c r="D457" s="3">
        <v>244.520004</v>
      </c>
      <c r="E457" s="3">
        <v>68.314284999999998</v>
      </c>
      <c r="F457" s="3">
        <f t="shared" si="42"/>
        <v>2015</v>
      </c>
      <c r="G457" s="3" t="str">
        <f t="shared" si="43"/>
        <v>Feb</v>
      </c>
      <c r="H457" s="3" t="str">
        <f t="shared" si="44"/>
        <v>Q1</v>
      </c>
      <c r="I457" s="3">
        <f t="shared" si="45"/>
        <v>-9.1747614119297386E-3</v>
      </c>
      <c r="J457" s="3">
        <f t="shared" si="46"/>
        <v>-2.331096395696115E-2</v>
      </c>
      <c r="K457" s="3" t="str">
        <f t="shared" si="47"/>
        <v>Normal</v>
      </c>
      <c r="L457" s="4">
        <f>VALUE(A457)</f>
        <v>42055</v>
      </c>
    </row>
    <row r="458" spans="1:12">
      <c r="A458" s="5">
        <v>42058</v>
      </c>
      <c r="B458" s="3">
        <v>380.14001500000001</v>
      </c>
      <c r="C458" s="3">
        <v>100.069534</v>
      </c>
      <c r="D458" s="3">
        <v>238.820007</v>
      </c>
      <c r="E458" s="3">
        <v>67.405715999999998</v>
      </c>
      <c r="F458" s="3">
        <f t="shared" si="42"/>
        <v>2015</v>
      </c>
      <c r="G458" s="3" t="str">
        <f t="shared" si="43"/>
        <v>Feb</v>
      </c>
      <c r="H458" s="3" t="str">
        <f t="shared" si="44"/>
        <v>Q1</v>
      </c>
      <c r="I458" s="3">
        <f t="shared" si="45"/>
        <v>-4.0774949724774971E-3</v>
      </c>
      <c r="J458" s="3">
        <f t="shared" si="46"/>
        <v>2.9307427329564126E-4</v>
      </c>
      <c r="K458" s="3" t="str">
        <f t="shared" si="47"/>
        <v>Normal</v>
      </c>
      <c r="L458" s="4">
        <f>VALUE(A458)</f>
        <v>42058</v>
      </c>
    </row>
    <row r="459" spans="1:12">
      <c r="A459" s="5">
        <v>42059</v>
      </c>
      <c r="B459" s="3">
        <v>378.58999599999999</v>
      </c>
      <c r="C459" s="3">
        <v>99.140647999999999</v>
      </c>
      <c r="D459" s="3">
        <v>238.88999899999999</v>
      </c>
      <c r="E459" s="3">
        <v>67.839995999999999</v>
      </c>
      <c r="F459" s="3">
        <f t="shared" si="42"/>
        <v>2015</v>
      </c>
      <c r="G459" s="3" t="str">
        <f t="shared" si="43"/>
        <v>Feb</v>
      </c>
      <c r="H459" s="3" t="str">
        <f t="shared" si="44"/>
        <v>Q1</v>
      </c>
      <c r="I459" s="3">
        <f t="shared" si="45"/>
        <v>1.7908552977189688E-2</v>
      </c>
      <c r="J459" s="3">
        <f t="shared" si="46"/>
        <v>-6.5301896543604639E-3</v>
      </c>
      <c r="K459" s="3" t="str">
        <f t="shared" si="47"/>
        <v>Normal</v>
      </c>
      <c r="L459" s="4">
        <f>VALUE(A459)</f>
        <v>42059</v>
      </c>
    </row>
    <row r="460" spans="1:12">
      <c r="A460" s="5">
        <v>42060</v>
      </c>
      <c r="B460" s="3">
        <v>385.36999500000002</v>
      </c>
      <c r="C460" s="3">
        <v>99.523705000000007</v>
      </c>
      <c r="D460" s="3">
        <v>237.33000200000001</v>
      </c>
      <c r="E460" s="3">
        <v>68.332854999999995</v>
      </c>
      <c r="F460" s="3">
        <f t="shared" si="42"/>
        <v>2015</v>
      </c>
      <c r="G460" s="3" t="str">
        <f t="shared" si="43"/>
        <v>Feb</v>
      </c>
      <c r="H460" s="3" t="str">
        <f t="shared" si="44"/>
        <v>Q1</v>
      </c>
      <c r="I460" s="3">
        <f t="shared" si="45"/>
        <v>-1.4791161932574235E-3</v>
      </c>
      <c r="J460" s="3">
        <f t="shared" si="46"/>
        <v>-3.3708464722467064E-3</v>
      </c>
      <c r="K460" s="3" t="str">
        <f t="shared" si="47"/>
        <v>Normal</v>
      </c>
      <c r="L460" s="4">
        <f>VALUE(A460)</f>
        <v>42060</v>
      </c>
    </row>
    <row r="461" spans="1:12">
      <c r="A461" s="5">
        <v>42061</v>
      </c>
      <c r="B461" s="3">
        <v>384.79998799999998</v>
      </c>
      <c r="C461" s="3">
        <v>99.590744000000001</v>
      </c>
      <c r="D461" s="3">
        <v>236.529999</v>
      </c>
      <c r="E461" s="3">
        <v>69.004288000000003</v>
      </c>
      <c r="F461" s="3">
        <f t="shared" si="42"/>
        <v>2015</v>
      </c>
      <c r="G461" s="3" t="str">
        <f t="shared" si="43"/>
        <v>Feb</v>
      </c>
      <c r="H461" s="3" t="str">
        <f t="shared" si="44"/>
        <v>Q1</v>
      </c>
      <c r="I461" s="3">
        <f t="shared" si="45"/>
        <v>-1.2058170854204835E-2</v>
      </c>
      <c r="J461" s="3">
        <f t="shared" si="46"/>
        <v>7.1618830895103472E-2</v>
      </c>
      <c r="K461" s="3" t="str">
        <f t="shared" si="47"/>
        <v>High Volatility</v>
      </c>
      <c r="L461" s="4">
        <f>VALUE(A461)</f>
        <v>42061</v>
      </c>
    </row>
    <row r="462" spans="1:12">
      <c r="A462" s="5">
        <v>42062</v>
      </c>
      <c r="B462" s="3">
        <v>380.16000400000001</v>
      </c>
      <c r="C462" s="3">
        <v>97.225448999999998</v>
      </c>
      <c r="D462" s="3">
        <v>253.470001</v>
      </c>
      <c r="E462" s="3">
        <v>67.844284000000002</v>
      </c>
      <c r="F462" s="3">
        <f t="shared" si="42"/>
        <v>2015</v>
      </c>
      <c r="G462" s="3" t="str">
        <f t="shared" si="43"/>
        <v>Feb</v>
      </c>
      <c r="H462" s="3" t="str">
        <f t="shared" si="44"/>
        <v>Q1</v>
      </c>
      <c r="I462" s="3">
        <f t="shared" si="45"/>
        <v>1.4467592440366241E-2</v>
      </c>
      <c r="J462" s="3">
        <f t="shared" si="46"/>
        <v>8.000946431526626E-2</v>
      </c>
      <c r="K462" s="3" t="str">
        <f t="shared" si="47"/>
        <v>High Volatility</v>
      </c>
      <c r="L462" s="4">
        <f>VALUE(A462)</f>
        <v>42062</v>
      </c>
    </row>
    <row r="463" spans="1:12">
      <c r="A463" s="5">
        <v>42065</v>
      </c>
      <c r="B463" s="3">
        <v>385.66000400000001</v>
      </c>
      <c r="C463" s="3">
        <v>100.01206999999999</v>
      </c>
      <c r="D463" s="3">
        <v>273.75</v>
      </c>
      <c r="E463" s="3">
        <v>68.607140000000001</v>
      </c>
      <c r="F463" s="3">
        <f t="shared" si="42"/>
        <v>2015</v>
      </c>
      <c r="G463" s="3" t="str">
        <f t="shared" si="43"/>
        <v>Mar</v>
      </c>
      <c r="H463" s="3" t="str">
        <f t="shared" si="44"/>
        <v>Q1</v>
      </c>
      <c r="I463" s="3">
        <f t="shared" si="45"/>
        <v>-2.7226546416776478E-3</v>
      </c>
      <c r="J463" s="3">
        <f t="shared" si="46"/>
        <v>2.5205457534246547E-2</v>
      </c>
      <c r="K463" s="3" t="str">
        <f t="shared" si="47"/>
        <v>Normal</v>
      </c>
      <c r="L463" s="4">
        <f>VALUE(A463)</f>
        <v>42065</v>
      </c>
    </row>
    <row r="464" spans="1:12">
      <c r="A464" s="5">
        <v>42066</v>
      </c>
      <c r="B464" s="3">
        <v>384.60998499999999</v>
      </c>
      <c r="C464" s="3">
        <v>98.470344999999995</v>
      </c>
      <c r="D464" s="3">
        <v>280.64999399999999</v>
      </c>
      <c r="E464" s="3">
        <v>67.815712000000005</v>
      </c>
      <c r="F464" s="3">
        <f t="shared" si="42"/>
        <v>2015</v>
      </c>
      <c r="G464" s="3" t="str">
        <f t="shared" si="43"/>
        <v>Mar</v>
      </c>
      <c r="H464" s="3" t="str">
        <f t="shared" si="44"/>
        <v>Q1</v>
      </c>
      <c r="I464" s="3">
        <f t="shared" si="45"/>
        <v>-4.9140273880304225E-3</v>
      </c>
      <c r="J464" s="3">
        <f t="shared" si="46"/>
        <v>-3.1106293200205838E-2</v>
      </c>
      <c r="K464" s="3" t="str">
        <f t="shared" si="47"/>
        <v>Normal</v>
      </c>
      <c r="L464" s="4">
        <f>VALUE(A464)</f>
        <v>42066</v>
      </c>
    </row>
    <row r="465" spans="1:12">
      <c r="A465" s="5">
        <v>42067</v>
      </c>
      <c r="B465" s="3">
        <v>382.72000100000002</v>
      </c>
      <c r="C465" s="3">
        <v>98.901245000000003</v>
      </c>
      <c r="D465" s="3">
        <v>271.92001299999998</v>
      </c>
      <c r="E465" s="3">
        <v>67.110000999999997</v>
      </c>
      <c r="F465" s="3">
        <f t="shared" si="42"/>
        <v>2015</v>
      </c>
      <c r="G465" s="3" t="str">
        <f t="shared" si="43"/>
        <v>Mar</v>
      </c>
      <c r="H465" s="3" t="str">
        <f t="shared" si="44"/>
        <v>Q1</v>
      </c>
      <c r="I465" s="3">
        <f t="shared" si="45"/>
        <v>1.3351761043708797E-2</v>
      </c>
      <c r="J465" s="3">
        <f t="shared" si="46"/>
        <v>1.2172689915250952E-2</v>
      </c>
      <c r="K465" s="3" t="str">
        <f t="shared" si="47"/>
        <v>Normal</v>
      </c>
      <c r="L465" s="4">
        <f>VALUE(A465)</f>
        <v>42067</v>
      </c>
    </row>
    <row r="466" spans="1:12">
      <c r="A466" s="5">
        <v>42068</v>
      </c>
      <c r="B466" s="3">
        <v>387.82998700000002</v>
      </c>
      <c r="C466" s="3">
        <v>98.997024999999994</v>
      </c>
      <c r="D466" s="3">
        <v>275.23001099999999</v>
      </c>
      <c r="E466" s="3">
        <v>66.807143999999994</v>
      </c>
      <c r="F466" s="3">
        <f t="shared" si="42"/>
        <v>2015</v>
      </c>
      <c r="G466" s="3" t="str">
        <f t="shared" si="43"/>
        <v>Mar</v>
      </c>
      <c r="H466" s="3" t="str">
        <f t="shared" si="44"/>
        <v>Q1</v>
      </c>
      <c r="I466" s="3">
        <f t="shared" si="45"/>
        <v>-1.9957175204195935E-2</v>
      </c>
      <c r="J466" s="3">
        <f t="shared" si="46"/>
        <v>-9.7010242098925156E-3</v>
      </c>
      <c r="K466" s="3" t="str">
        <f t="shared" si="47"/>
        <v>Normal</v>
      </c>
      <c r="L466" s="4">
        <f>VALUE(A466)</f>
        <v>42068</v>
      </c>
    </row>
    <row r="467" spans="1:12">
      <c r="A467" s="5">
        <v>42069</v>
      </c>
      <c r="B467" s="3">
        <v>380.08999599999999</v>
      </c>
      <c r="C467" s="3">
        <v>96.593429999999998</v>
      </c>
      <c r="D467" s="3">
        <v>272.55999800000001</v>
      </c>
      <c r="E467" s="3">
        <v>64.874283000000005</v>
      </c>
      <c r="F467" s="3">
        <f t="shared" si="42"/>
        <v>2015</v>
      </c>
      <c r="G467" s="3" t="str">
        <f t="shared" si="43"/>
        <v>Mar</v>
      </c>
      <c r="H467" s="3" t="str">
        <f t="shared" si="44"/>
        <v>Q1</v>
      </c>
      <c r="I467" s="3">
        <f t="shared" si="45"/>
        <v>-4.0253571946155028E-3</v>
      </c>
      <c r="J467" s="3">
        <f t="shared" si="46"/>
        <v>6.4059257147485019E-2</v>
      </c>
      <c r="K467" s="3" t="str">
        <f t="shared" si="47"/>
        <v>High Volatility</v>
      </c>
      <c r="L467" s="4">
        <f>VALUE(A467)</f>
        <v>42069</v>
      </c>
    </row>
    <row r="468" spans="1:12">
      <c r="A468" s="5">
        <v>42072</v>
      </c>
      <c r="B468" s="3">
        <v>378.55999800000001</v>
      </c>
      <c r="C468" s="3">
        <v>97.062659999999994</v>
      </c>
      <c r="D468" s="3">
        <v>290.01998900000001</v>
      </c>
      <c r="E468" s="3">
        <v>63.661430000000003</v>
      </c>
      <c r="F468" s="3">
        <f t="shared" si="42"/>
        <v>2015</v>
      </c>
      <c r="G468" s="3" t="str">
        <f t="shared" si="43"/>
        <v>Mar</v>
      </c>
      <c r="H468" s="3" t="str">
        <f t="shared" si="44"/>
        <v>Q1</v>
      </c>
      <c r="I468" s="3">
        <f t="shared" si="45"/>
        <v>-2.3906350506690315E-2</v>
      </c>
      <c r="J468" s="3">
        <f t="shared" si="46"/>
        <v>4.654872254339709E-3</v>
      </c>
      <c r="K468" s="3" t="str">
        <f t="shared" si="47"/>
        <v>Normal</v>
      </c>
      <c r="L468" s="4">
        <f>VALUE(A468)</f>
        <v>42072</v>
      </c>
    </row>
    <row r="469" spans="1:12">
      <c r="A469" s="5">
        <v>42073</v>
      </c>
      <c r="B469" s="3">
        <v>369.51001000000002</v>
      </c>
      <c r="C469" s="3">
        <v>94.831435999999997</v>
      </c>
      <c r="D469" s="3">
        <v>291.36999500000002</v>
      </c>
      <c r="E469" s="3">
        <v>62.151428000000003</v>
      </c>
      <c r="F469" s="3">
        <f t="shared" si="42"/>
        <v>2015</v>
      </c>
      <c r="G469" s="3" t="str">
        <f t="shared" si="43"/>
        <v>Mar</v>
      </c>
      <c r="H469" s="3" t="str">
        <f t="shared" si="44"/>
        <v>Q1</v>
      </c>
      <c r="I469" s="3">
        <f t="shared" si="45"/>
        <v>-8.4977806149284154E-3</v>
      </c>
      <c r="J469" s="3">
        <f t="shared" si="46"/>
        <v>1.4517661641858456E-2</v>
      </c>
      <c r="K469" s="3" t="str">
        <f t="shared" si="47"/>
        <v>Normal</v>
      </c>
      <c r="L469" s="4">
        <f>VALUE(A469)</f>
        <v>42073</v>
      </c>
    </row>
    <row r="470" spans="1:12">
      <c r="A470" s="5">
        <v>42074</v>
      </c>
      <c r="B470" s="3">
        <v>366.36999500000002</v>
      </c>
      <c r="C470" s="3">
        <v>94.293509999999998</v>
      </c>
      <c r="D470" s="3">
        <v>295.60000600000001</v>
      </c>
      <c r="E470" s="3">
        <v>62.884284999999998</v>
      </c>
      <c r="F470" s="3">
        <f t="shared" si="42"/>
        <v>2015</v>
      </c>
      <c r="G470" s="3" t="str">
        <f t="shared" si="43"/>
        <v>Mar</v>
      </c>
      <c r="H470" s="3" t="str">
        <f t="shared" si="44"/>
        <v>Q1</v>
      </c>
      <c r="I470" s="3">
        <f t="shared" si="45"/>
        <v>2.1481003104525411E-2</v>
      </c>
      <c r="J470" s="3">
        <f t="shared" si="46"/>
        <v>-5.920162261431077E-3</v>
      </c>
      <c r="K470" s="3" t="str">
        <f t="shared" si="47"/>
        <v>Normal</v>
      </c>
      <c r="L470" s="4">
        <f>VALUE(A470)</f>
        <v>42074</v>
      </c>
    </row>
    <row r="471" spans="1:12">
      <c r="A471" s="5">
        <v>42075</v>
      </c>
      <c r="B471" s="3">
        <v>374.23998999999998</v>
      </c>
      <c r="C471" s="3">
        <v>96.752662999999998</v>
      </c>
      <c r="D471" s="3">
        <v>293.85000600000001</v>
      </c>
      <c r="E471" s="3">
        <v>64.045715000000001</v>
      </c>
      <c r="F471" s="3">
        <f t="shared" si="42"/>
        <v>2015</v>
      </c>
      <c r="G471" s="3" t="str">
        <f t="shared" si="43"/>
        <v>Mar</v>
      </c>
      <c r="H471" s="3" t="str">
        <f t="shared" si="44"/>
        <v>Q1</v>
      </c>
      <c r="I471" s="3">
        <f t="shared" si="45"/>
        <v>-9.7798287136550022E-3</v>
      </c>
      <c r="J471" s="3">
        <f t="shared" si="46"/>
        <v>-2.2596613457275223E-2</v>
      </c>
      <c r="K471" s="3" t="str">
        <f t="shared" si="47"/>
        <v>Normal</v>
      </c>
      <c r="L471" s="4">
        <f>VALUE(A471)</f>
        <v>42075</v>
      </c>
    </row>
    <row r="472" spans="1:12">
      <c r="A472" s="5">
        <v>42076</v>
      </c>
      <c r="B472" s="3">
        <v>370.57998700000002</v>
      </c>
      <c r="C472" s="3">
        <v>95.792068</v>
      </c>
      <c r="D472" s="3">
        <v>287.209991</v>
      </c>
      <c r="E472" s="3">
        <v>62.628571000000001</v>
      </c>
      <c r="F472" s="3">
        <f t="shared" si="42"/>
        <v>2015</v>
      </c>
      <c r="G472" s="3" t="str">
        <f t="shared" si="43"/>
        <v>Mar</v>
      </c>
      <c r="H472" s="3" t="str">
        <f t="shared" si="44"/>
        <v>Q1</v>
      </c>
      <c r="I472" s="3">
        <f t="shared" si="45"/>
        <v>7.4748208137855824E-3</v>
      </c>
      <c r="J472" s="3">
        <f t="shared" si="46"/>
        <v>1.1141718952249167E-2</v>
      </c>
      <c r="K472" s="3" t="str">
        <f t="shared" si="47"/>
        <v>Normal</v>
      </c>
      <c r="L472" s="4">
        <f>VALUE(A472)</f>
        <v>42076</v>
      </c>
    </row>
    <row r="473" spans="1:12">
      <c r="A473" s="5">
        <v>42079</v>
      </c>
      <c r="B473" s="3">
        <v>373.35000600000001</v>
      </c>
      <c r="C473" s="3">
        <v>97.530754000000002</v>
      </c>
      <c r="D473" s="3">
        <v>290.41000400000001</v>
      </c>
      <c r="E473" s="3">
        <v>60.281429000000003</v>
      </c>
      <c r="F473" s="3">
        <f t="shared" si="42"/>
        <v>2015</v>
      </c>
      <c r="G473" s="3" t="str">
        <f t="shared" si="43"/>
        <v>Mar</v>
      </c>
      <c r="H473" s="3" t="str">
        <f t="shared" si="44"/>
        <v>Q1</v>
      </c>
      <c r="I473" s="3">
        <f t="shared" si="45"/>
        <v>-3.8301673416874793E-3</v>
      </c>
      <c r="J473" s="3">
        <f t="shared" si="46"/>
        <v>-1.73203365266991E-2</v>
      </c>
      <c r="K473" s="3" t="str">
        <f t="shared" si="47"/>
        <v>Normal</v>
      </c>
      <c r="L473" s="4">
        <f>VALUE(A473)</f>
        <v>42079</v>
      </c>
    </row>
    <row r="474" spans="1:12">
      <c r="A474" s="5">
        <v>42080</v>
      </c>
      <c r="B474" s="3">
        <v>371.92001299999998</v>
      </c>
      <c r="C474" s="3">
        <v>98.126334999999997</v>
      </c>
      <c r="D474" s="3">
        <v>285.38000499999998</v>
      </c>
      <c r="E474" s="3">
        <v>59.78857</v>
      </c>
      <c r="F474" s="3">
        <f t="shared" si="42"/>
        <v>2015</v>
      </c>
      <c r="G474" s="3" t="str">
        <f t="shared" si="43"/>
        <v>Mar</v>
      </c>
      <c r="H474" s="3" t="str">
        <f t="shared" si="44"/>
        <v>Q1</v>
      </c>
      <c r="I474" s="3">
        <f t="shared" si="45"/>
        <v>8.6577809406562442E-3</v>
      </c>
      <c r="J474" s="3">
        <f t="shared" si="46"/>
        <v>-0.10323080273265814</v>
      </c>
      <c r="K474" s="3" t="str">
        <f t="shared" si="47"/>
        <v>High Volatility</v>
      </c>
      <c r="L474" s="4">
        <f>VALUE(A474)</f>
        <v>42080</v>
      </c>
    </row>
    <row r="475" spans="1:12">
      <c r="A475" s="5">
        <v>42081</v>
      </c>
      <c r="B475" s="3">
        <v>375.14001500000001</v>
      </c>
      <c r="C475" s="3">
        <v>98.145538000000002</v>
      </c>
      <c r="D475" s="3">
        <v>255.91999799999999</v>
      </c>
      <c r="E475" s="3">
        <v>60.445712999999998</v>
      </c>
      <c r="F475" s="3">
        <f t="shared" si="42"/>
        <v>2015</v>
      </c>
      <c r="G475" s="3" t="str">
        <f t="shared" si="43"/>
        <v>Mar</v>
      </c>
      <c r="H475" s="3" t="str">
        <f t="shared" si="44"/>
        <v>Q1</v>
      </c>
      <c r="I475" s="3">
        <f t="shared" si="45"/>
        <v>-5.0648422562973661E-3</v>
      </c>
      <c r="J475" s="3">
        <f t="shared" si="46"/>
        <v>1.9576410750050226E-2</v>
      </c>
      <c r="K475" s="3" t="str">
        <f t="shared" si="47"/>
        <v>Normal</v>
      </c>
      <c r="L475" s="4">
        <f>VALUE(A475)</f>
        <v>42081</v>
      </c>
    </row>
    <row r="476" spans="1:12">
      <c r="A476" s="5">
        <v>42082</v>
      </c>
      <c r="B476" s="3">
        <v>373.23998999999998</v>
      </c>
      <c r="C476" s="3">
        <v>99.682518000000002</v>
      </c>
      <c r="D476" s="3">
        <v>260.92999300000002</v>
      </c>
      <c r="E476" s="3">
        <v>60.744286000000002</v>
      </c>
      <c r="F476" s="3">
        <f t="shared" si="42"/>
        <v>2015</v>
      </c>
      <c r="G476" s="3" t="str">
        <f t="shared" si="43"/>
        <v>Mar</v>
      </c>
      <c r="H476" s="3" t="str">
        <f t="shared" si="44"/>
        <v>Q1</v>
      </c>
      <c r="I476" s="3">
        <f t="shared" si="45"/>
        <v>1.4066016880988557E-2</v>
      </c>
      <c r="J476" s="3">
        <f t="shared" si="46"/>
        <v>3.2576017430083273E-3</v>
      </c>
      <c r="K476" s="3" t="str">
        <f t="shared" si="47"/>
        <v>Normal</v>
      </c>
      <c r="L476" s="4">
        <f>VALUE(A476)</f>
        <v>42082</v>
      </c>
    </row>
    <row r="477" spans="1:12">
      <c r="A477" s="5">
        <v>42083</v>
      </c>
      <c r="B477" s="3">
        <v>378.48998999999998</v>
      </c>
      <c r="C477" s="3">
        <v>100.508652</v>
      </c>
      <c r="D477" s="3">
        <v>261.77999899999998</v>
      </c>
      <c r="E477" s="3">
        <v>61.185715000000002</v>
      </c>
      <c r="F477" s="3">
        <f t="shared" si="42"/>
        <v>2015</v>
      </c>
      <c r="G477" s="3" t="str">
        <f t="shared" si="43"/>
        <v>Mar</v>
      </c>
      <c r="H477" s="3" t="str">
        <f t="shared" si="44"/>
        <v>Q1</v>
      </c>
      <c r="I477" s="3">
        <f t="shared" si="45"/>
        <v>-8.9302361734850191E-3</v>
      </c>
      <c r="J477" s="3">
        <f t="shared" si="46"/>
        <v>1.4057575116730088E-2</v>
      </c>
      <c r="K477" s="3" t="str">
        <f t="shared" si="47"/>
        <v>Normal</v>
      </c>
      <c r="L477" s="4">
        <f>VALUE(A477)</f>
        <v>42083</v>
      </c>
    </row>
    <row r="478" spans="1:12">
      <c r="A478" s="5">
        <v>42086</v>
      </c>
      <c r="B478" s="3">
        <v>375.10998499999999</v>
      </c>
      <c r="C478" s="3">
        <v>99.922675999999996</v>
      </c>
      <c r="D478" s="3">
        <v>265.459991</v>
      </c>
      <c r="E478" s="3">
        <v>60.714286999999999</v>
      </c>
      <c r="F478" s="3">
        <f t="shared" si="42"/>
        <v>2015</v>
      </c>
      <c r="G478" s="3" t="str">
        <f t="shared" si="43"/>
        <v>Mar</v>
      </c>
      <c r="H478" s="3" t="str">
        <f t="shared" si="44"/>
        <v>Q1</v>
      </c>
      <c r="I478" s="3">
        <f t="shared" si="45"/>
        <v>-2.7191731513092343E-3</v>
      </c>
      <c r="J478" s="3">
        <f t="shared" si="46"/>
        <v>-7.0594404563209701E-2</v>
      </c>
      <c r="K478" s="3" t="str">
        <f t="shared" si="47"/>
        <v>High Volatility</v>
      </c>
      <c r="L478" s="4">
        <f>VALUE(A478)</f>
        <v>42086</v>
      </c>
    </row>
    <row r="479" spans="1:12">
      <c r="A479" s="5">
        <v>42087</v>
      </c>
      <c r="B479" s="3">
        <v>374.08999599999999</v>
      </c>
      <c r="C479" s="3">
        <v>99.989922000000007</v>
      </c>
      <c r="D479" s="3">
        <v>246.720001</v>
      </c>
      <c r="E479" s="3">
        <v>62.611426999999999</v>
      </c>
      <c r="F479" s="3">
        <f t="shared" si="42"/>
        <v>2015</v>
      </c>
      <c r="G479" s="3" t="str">
        <f t="shared" si="43"/>
        <v>Mar</v>
      </c>
      <c r="H479" s="3" t="str">
        <f t="shared" si="44"/>
        <v>Q1</v>
      </c>
      <c r="I479" s="3">
        <f t="shared" si="45"/>
        <v>-8.3669839703491636E-3</v>
      </c>
      <c r="J479" s="3">
        <f t="shared" si="46"/>
        <v>-1.4186365052746882E-3</v>
      </c>
      <c r="K479" s="3" t="str">
        <f t="shared" si="47"/>
        <v>Normal</v>
      </c>
      <c r="L479" s="4">
        <f>VALUE(A479)</f>
        <v>42087</v>
      </c>
    </row>
    <row r="480" spans="1:12">
      <c r="A480" s="5">
        <v>42088</v>
      </c>
      <c r="B480" s="3">
        <v>370.959991</v>
      </c>
      <c r="C480" s="3">
        <v>97.127303999999995</v>
      </c>
      <c r="D480" s="3">
        <v>246.36999499999999</v>
      </c>
      <c r="E480" s="3">
        <v>60.25</v>
      </c>
      <c r="F480" s="3">
        <f t="shared" si="42"/>
        <v>2015</v>
      </c>
      <c r="G480" s="3" t="str">
        <f t="shared" si="43"/>
        <v>Mar</v>
      </c>
      <c r="H480" s="3" t="str">
        <f t="shared" si="44"/>
        <v>Q1</v>
      </c>
      <c r="I480" s="3">
        <f t="shared" si="45"/>
        <v>-9.7314672406275601E-3</v>
      </c>
      <c r="J480" s="3">
        <f t="shared" si="46"/>
        <v>6.6972806489686842E-3</v>
      </c>
      <c r="K480" s="3" t="str">
        <f t="shared" si="47"/>
        <v>Normal</v>
      </c>
      <c r="L480" s="4">
        <f>VALUE(A480)</f>
        <v>42088</v>
      </c>
    </row>
    <row r="481" spans="1:12">
      <c r="A481" s="5">
        <v>42089</v>
      </c>
      <c r="B481" s="3">
        <v>367.35000600000001</v>
      </c>
      <c r="C481" s="3">
        <v>96.579757999999998</v>
      </c>
      <c r="D481" s="3">
        <v>248.020004</v>
      </c>
      <c r="E481" s="3">
        <v>59.751427</v>
      </c>
      <c r="F481" s="3">
        <f t="shared" si="42"/>
        <v>2015</v>
      </c>
      <c r="G481" s="3" t="str">
        <f t="shared" si="43"/>
        <v>Mar</v>
      </c>
      <c r="H481" s="3" t="str">
        <f t="shared" si="44"/>
        <v>Q1</v>
      </c>
      <c r="I481" s="3">
        <f t="shared" si="45"/>
        <v>8.7382385941760388E-3</v>
      </c>
      <c r="J481" s="3">
        <f t="shared" si="46"/>
        <v>-3.2658535075259891E-3</v>
      </c>
      <c r="K481" s="3" t="str">
        <f t="shared" si="47"/>
        <v>Normal</v>
      </c>
      <c r="L481" s="4">
        <f>VALUE(A481)</f>
        <v>42089</v>
      </c>
    </row>
    <row r="482" spans="1:12">
      <c r="A482" s="5">
        <v>42090</v>
      </c>
      <c r="B482" s="3">
        <v>370.55999800000001</v>
      </c>
      <c r="C482" s="3">
        <v>97.069678999999994</v>
      </c>
      <c r="D482" s="3">
        <v>247.21000699999999</v>
      </c>
      <c r="E482" s="3">
        <v>59.252856999999999</v>
      </c>
      <c r="F482" s="3">
        <f t="shared" si="42"/>
        <v>2015</v>
      </c>
      <c r="G482" s="3" t="str">
        <f t="shared" si="43"/>
        <v>Mar</v>
      </c>
      <c r="H482" s="3" t="str">
        <f t="shared" si="44"/>
        <v>Q1</v>
      </c>
      <c r="I482" s="3">
        <f t="shared" si="45"/>
        <v>1.0875426440389763E-2</v>
      </c>
      <c r="J482" s="3">
        <f t="shared" si="46"/>
        <v>-1.2378192279247005E-2</v>
      </c>
      <c r="K482" s="3" t="str">
        <f t="shared" si="47"/>
        <v>Normal</v>
      </c>
      <c r="L482" s="4">
        <f>VALUE(A482)</f>
        <v>42090</v>
      </c>
    </row>
    <row r="483" spans="1:12">
      <c r="A483" s="5">
        <v>42093</v>
      </c>
      <c r="B483" s="3">
        <v>374.58999599999999</v>
      </c>
      <c r="C483" s="3">
        <v>98.510604999999998</v>
      </c>
      <c r="D483" s="3">
        <v>244.14999399999999</v>
      </c>
      <c r="E483" s="3">
        <v>60.367142000000001</v>
      </c>
      <c r="F483" s="3">
        <f t="shared" si="42"/>
        <v>2015</v>
      </c>
      <c r="G483" s="3" t="str">
        <f t="shared" si="43"/>
        <v>Mar</v>
      </c>
      <c r="H483" s="3" t="str">
        <f t="shared" si="44"/>
        <v>Q1</v>
      </c>
      <c r="I483" s="3">
        <f t="shared" si="45"/>
        <v>-6.6472410544567177E-3</v>
      </c>
      <c r="J483" s="3">
        <f t="shared" si="46"/>
        <v>8.5603565486878693E-3</v>
      </c>
      <c r="K483" s="3" t="str">
        <f t="shared" si="47"/>
        <v>Normal</v>
      </c>
      <c r="L483" s="4">
        <f>VALUE(A483)</f>
        <v>42093</v>
      </c>
    </row>
    <row r="484" spans="1:12">
      <c r="A484" s="5">
        <v>42094</v>
      </c>
      <c r="B484" s="3">
        <v>372.10000600000001</v>
      </c>
      <c r="C484" s="3">
        <v>96.589371</v>
      </c>
      <c r="D484" s="3">
        <v>246.240005</v>
      </c>
      <c r="E484" s="3">
        <v>59.527141999999998</v>
      </c>
      <c r="F484" s="3">
        <f t="shared" si="42"/>
        <v>2015</v>
      </c>
      <c r="G484" s="3" t="str">
        <f t="shared" si="43"/>
        <v>Mar</v>
      </c>
      <c r="H484" s="3" t="str">
        <f t="shared" si="44"/>
        <v>Q1</v>
      </c>
      <c r="I484" s="3">
        <f t="shared" si="45"/>
        <v>-4.9448964534550026E-3</v>
      </c>
      <c r="J484" s="3">
        <f t="shared" si="46"/>
        <v>2.5828463575607915E-2</v>
      </c>
      <c r="K484" s="3" t="str">
        <f t="shared" si="47"/>
        <v>Normal</v>
      </c>
      <c r="L484" s="4">
        <f>VALUE(A484)</f>
        <v>42094</v>
      </c>
    </row>
    <row r="485" spans="1:12">
      <c r="A485" s="5">
        <v>42095</v>
      </c>
      <c r="B485" s="3">
        <v>370.26001000000002</v>
      </c>
      <c r="C485" s="3">
        <v>96.541327999999993</v>
      </c>
      <c r="D485" s="3">
        <v>252.60000600000001</v>
      </c>
      <c r="E485" s="3">
        <v>59.017142999999997</v>
      </c>
      <c r="F485" s="3">
        <f t="shared" si="42"/>
        <v>2015</v>
      </c>
      <c r="G485" s="3" t="str">
        <f t="shared" si="43"/>
        <v>Apr</v>
      </c>
      <c r="H485" s="3" t="str">
        <f t="shared" si="44"/>
        <v>Q2</v>
      </c>
      <c r="I485" s="3">
        <f t="shared" si="45"/>
        <v>5.3745744780808961E-3</v>
      </c>
      <c r="J485" s="3">
        <f t="shared" si="46"/>
        <v>7.4425572262258469E-3</v>
      </c>
      <c r="K485" s="3" t="str">
        <f t="shared" si="47"/>
        <v>Normal</v>
      </c>
      <c r="L485" s="4">
        <f>VALUE(A485)</f>
        <v>42095</v>
      </c>
    </row>
    <row r="486" spans="1:12">
      <c r="A486" s="5">
        <v>42096</v>
      </c>
      <c r="B486" s="3">
        <v>372.25</v>
      </c>
      <c r="C486" s="3">
        <v>97.012039000000001</v>
      </c>
      <c r="D486" s="3">
        <v>254.479996</v>
      </c>
      <c r="E486" s="3">
        <v>59.154285000000002</v>
      </c>
      <c r="F486" s="3">
        <f t="shared" si="42"/>
        <v>2015</v>
      </c>
      <c r="G486" s="3" t="str">
        <f t="shared" si="43"/>
        <v>Apr</v>
      </c>
      <c r="H486" s="3" t="str">
        <f t="shared" si="44"/>
        <v>Q2</v>
      </c>
      <c r="I486" s="3">
        <f t="shared" si="45"/>
        <v>1.2867720617864332E-2</v>
      </c>
      <c r="J486" s="3">
        <f t="shared" si="46"/>
        <v>-5.9336491030124172E-3</v>
      </c>
      <c r="K486" s="3" t="str">
        <f t="shared" si="47"/>
        <v>Normal</v>
      </c>
      <c r="L486" s="4">
        <f>VALUE(A486)</f>
        <v>42096</v>
      </c>
    </row>
    <row r="487" spans="1:12">
      <c r="A487" s="5">
        <v>42100</v>
      </c>
      <c r="B487" s="3">
        <v>377.040009</v>
      </c>
      <c r="C487" s="3">
        <v>96.839118999999997</v>
      </c>
      <c r="D487" s="3">
        <v>252.970001</v>
      </c>
      <c r="E487" s="3">
        <v>60.330002</v>
      </c>
      <c r="F487" s="3">
        <f t="shared" si="42"/>
        <v>2015</v>
      </c>
      <c r="G487" s="3" t="str">
        <f t="shared" si="43"/>
        <v>Apr</v>
      </c>
      <c r="H487" s="3" t="str">
        <f t="shared" si="44"/>
        <v>Q2</v>
      </c>
      <c r="I487" s="3">
        <f t="shared" si="45"/>
        <v>-6.97540032150801E-3</v>
      </c>
      <c r="J487" s="3">
        <f t="shared" si="46"/>
        <v>-3.3205494591431781E-2</v>
      </c>
      <c r="K487" s="3" t="str">
        <f t="shared" si="47"/>
        <v>Normal</v>
      </c>
      <c r="L487" s="4">
        <f>VALUE(A487)</f>
        <v>42100</v>
      </c>
    </row>
    <row r="488" spans="1:12">
      <c r="A488" s="5">
        <v>42101</v>
      </c>
      <c r="B488" s="3">
        <v>374.41000400000001</v>
      </c>
      <c r="C488" s="3">
        <v>95.475059999999999</v>
      </c>
      <c r="D488" s="3">
        <v>244.570007</v>
      </c>
      <c r="E488" s="3">
        <v>60.494286000000002</v>
      </c>
      <c r="F488" s="3">
        <f t="shared" si="42"/>
        <v>2015</v>
      </c>
      <c r="G488" s="3" t="str">
        <f t="shared" si="43"/>
        <v>Apr</v>
      </c>
      <c r="H488" s="3" t="str">
        <f t="shared" si="44"/>
        <v>Q2</v>
      </c>
      <c r="I488" s="3">
        <f t="shared" si="45"/>
        <v>1.8135220553561919E-2</v>
      </c>
      <c r="J488" s="3">
        <f t="shared" si="46"/>
        <v>-5.111011016162746E-3</v>
      </c>
      <c r="K488" s="3" t="str">
        <f t="shared" si="47"/>
        <v>Normal</v>
      </c>
      <c r="L488" s="4">
        <f>VALUE(A488)</f>
        <v>42101</v>
      </c>
    </row>
    <row r="489" spans="1:12">
      <c r="A489" s="5">
        <v>42102</v>
      </c>
      <c r="B489" s="3">
        <v>381.20001200000002</v>
      </c>
      <c r="C489" s="3">
        <v>96.339607000000001</v>
      </c>
      <c r="D489" s="3">
        <v>243.320007</v>
      </c>
      <c r="E489" s="3">
        <v>63.049999</v>
      </c>
      <c r="F489" s="3">
        <f t="shared" si="42"/>
        <v>2015</v>
      </c>
      <c r="G489" s="3" t="str">
        <f t="shared" si="43"/>
        <v>Apr</v>
      </c>
      <c r="H489" s="3" t="str">
        <f t="shared" si="44"/>
        <v>Q2</v>
      </c>
      <c r="I489" s="3">
        <f t="shared" si="45"/>
        <v>6.1385019053986347E-3</v>
      </c>
      <c r="J489" s="3">
        <f t="shared" si="46"/>
        <v>-3.5303348482971252E-2</v>
      </c>
      <c r="K489" s="3" t="str">
        <f t="shared" si="47"/>
        <v>Normal</v>
      </c>
      <c r="L489" s="4">
        <f>VALUE(A489)</f>
        <v>42102</v>
      </c>
    </row>
    <row r="490" spans="1:12">
      <c r="A490" s="5">
        <v>42103</v>
      </c>
      <c r="B490" s="3">
        <v>383.540009</v>
      </c>
      <c r="C490" s="3">
        <v>95.292525999999995</v>
      </c>
      <c r="D490" s="3">
        <v>234.729996</v>
      </c>
      <c r="E490" s="3">
        <v>62.785713000000001</v>
      </c>
      <c r="F490" s="3">
        <f t="shared" si="42"/>
        <v>2015</v>
      </c>
      <c r="G490" s="3" t="str">
        <f t="shared" si="43"/>
        <v>Apr</v>
      </c>
      <c r="H490" s="3" t="str">
        <f t="shared" si="44"/>
        <v>Q2</v>
      </c>
      <c r="I490" s="3">
        <f t="shared" si="45"/>
        <v>-2.3205271395819499E-3</v>
      </c>
      <c r="J490" s="3">
        <f t="shared" si="46"/>
        <v>7.4553743868337984E-3</v>
      </c>
      <c r="K490" s="3" t="str">
        <f t="shared" si="47"/>
        <v>Normal</v>
      </c>
      <c r="L490" s="4">
        <f>VALUE(A490)</f>
        <v>42103</v>
      </c>
    </row>
    <row r="491" spans="1:12">
      <c r="A491" s="5">
        <v>42104</v>
      </c>
      <c r="B491" s="3">
        <v>382.64999399999999</v>
      </c>
      <c r="C491" s="3">
        <v>96.541327999999993</v>
      </c>
      <c r="D491" s="3">
        <v>236.479996</v>
      </c>
      <c r="E491" s="3">
        <v>64.938568000000004</v>
      </c>
      <c r="F491" s="3">
        <f t="shared" si="42"/>
        <v>2015</v>
      </c>
      <c r="G491" s="3" t="str">
        <f t="shared" si="43"/>
        <v>Apr</v>
      </c>
      <c r="H491" s="3" t="str">
        <f t="shared" si="44"/>
        <v>Q2</v>
      </c>
      <c r="I491" s="3">
        <f t="shared" si="45"/>
        <v>-7.5789626172056794E-4</v>
      </c>
      <c r="J491" s="3">
        <f t="shared" si="46"/>
        <v>-7.8188393575581772E-2</v>
      </c>
      <c r="K491" s="3" t="str">
        <f t="shared" si="47"/>
        <v>High Volatility</v>
      </c>
      <c r="L491" s="4">
        <f>VALUE(A491)</f>
        <v>42104</v>
      </c>
    </row>
    <row r="492" spans="1:12">
      <c r="A492" s="5">
        <v>42107</v>
      </c>
      <c r="B492" s="3">
        <v>382.35998499999999</v>
      </c>
      <c r="C492" s="3">
        <v>96.253142999999994</v>
      </c>
      <c r="D492" s="3">
        <v>217.990005</v>
      </c>
      <c r="E492" s="3">
        <v>67.811431999999996</v>
      </c>
      <c r="F492" s="3">
        <f t="shared" si="42"/>
        <v>2015</v>
      </c>
      <c r="G492" s="3" t="str">
        <f t="shared" si="43"/>
        <v>Apr</v>
      </c>
      <c r="H492" s="3" t="str">
        <f t="shared" si="44"/>
        <v>Q2</v>
      </c>
      <c r="I492" s="3">
        <f t="shared" si="45"/>
        <v>7.1921751958432577E-3</v>
      </c>
      <c r="J492" s="3">
        <f t="shared" si="46"/>
        <v>2.2845065763450943E-2</v>
      </c>
      <c r="K492" s="3" t="str">
        <f t="shared" si="47"/>
        <v>Normal</v>
      </c>
      <c r="L492" s="4">
        <f>VALUE(A492)</f>
        <v>42107</v>
      </c>
    </row>
    <row r="493" spans="1:12">
      <c r="A493" s="5">
        <v>42108</v>
      </c>
      <c r="B493" s="3">
        <v>385.10998499999999</v>
      </c>
      <c r="C493" s="3">
        <v>94.610504000000006</v>
      </c>
      <c r="D493" s="3">
        <v>222.970001</v>
      </c>
      <c r="E493" s="3">
        <v>68.387146000000001</v>
      </c>
      <c r="F493" s="3">
        <f t="shared" si="42"/>
        <v>2015</v>
      </c>
      <c r="G493" s="3" t="str">
        <f t="shared" si="43"/>
        <v>Apr</v>
      </c>
      <c r="H493" s="3" t="str">
        <f t="shared" si="44"/>
        <v>Q2</v>
      </c>
      <c r="I493" s="3">
        <f t="shared" si="45"/>
        <v>-4.3103868106665151E-3</v>
      </c>
      <c r="J493" s="3">
        <f t="shared" si="46"/>
        <v>2.2469367975649798E-2</v>
      </c>
      <c r="K493" s="3" t="str">
        <f t="shared" si="47"/>
        <v>Normal</v>
      </c>
      <c r="L493" s="4">
        <f>VALUE(A493)</f>
        <v>42108</v>
      </c>
    </row>
    <row r="494" spans="1:12">
      <c r="A494" s="5">
        <v>42109</v>
      </c>
      <c r="B494" s="3">
        <v>383.45001200000002</v>
      </c>
      <c r="C494" s="3">
        <v>94.485634000000005</v>
      </c>
      <c r="D494" s="3">
        <v>227.979996</v>
      </c>
      <c r="E494" s="3">
        <v>67.922859000000003</v>
      </c>
      <c r="F494" s="3">
        <f t="shared" si="42"/>
        <v>2015</v>
      </c>
      <c r="G494" s="3" t="str">
        <f t="shared" si="43"/>
        <v>Apr</v>
      </c>
      <c r="H494" s="3" t="str">
        <f t="shared" si="44"/>
        <v>Q2</v>
      </c>
      <c r="I494" s="3">
        <f t="shared" si="45"/>
        <v>6.7544579969917497E-3</v>
      </c>
      <c r="J494" s="3">
        <f t="shared" si="46"/>
        <v>-2.3642425188918709E-2</v>
      </c>
      <c r="K494" s="3" t="str">
        <f t="shared" si="47"/>
        <v>Normal</v>
      </c>
      <c r="L494" s="4">
        <f>VALUE(A494)</f>
        <v>42109</v>
      </c>
    </row>
    <row r="495" spans="1:12">
      <c r="A495" s="5">
        <v>42110</v>
      </c>
      <c r="B495" s="3">
        <v>386.040009</v>
      </c>
      <c r="C495" s="3">
        <v>96.474082999999993</v>
      </c>
      <c r="D495" s="3">
        <v>222.58999600000001</v>
      </c>
      <c r="E495" s="3">
        <v>80.292854000000005</v>
      </c>
      <c r="F495" s="3">
        <f t="shared" si="42"/>
        <v>2015</v>
      </c>
      <c r="G495" s="3" t="str">
        <f t="shared" si="43"/>
        <v>Apr</v>
      </c>
      <c r="H495" s="3" t="str">
        <f t="shared" si="44"/>
        <v>Q2</v>
      </c>
      <c r="I495" s="3">
        <f t="shared" si="45"/>
        <v>-2.7147473722082496E-2</v>
      </c>
      <c r="J495" s="3">
        <f t="shared" si="46"/>
        <v>3.4143942389935353E-3</v>
      </c>
      <c r="K495" s="3" t="str">
        <f t="shared" si="47"/>
        <v>Normal</v>
      </c>
      <c r="L495" s="4">
        <f>VALUE(A495)</f>
        <v>42110</v>
      </c>
    </row>
    <row r="496" spans="1:12">
      <c r="A496" s="5">
        <v>42111</v>
      </c>
      <c r="B496" s="3">
        <v>375.55999800000001</v>
      </c>
      <c r="C496" s="3">
        <v>95.330971000000005</v>
      </c>
      <c r="D496" s="3">
        <v>223.35000600000001</v>
      </c>
      <c r="E496" s="3">
        <v>81.650002000000001</v>
      </c>
      <c r="F496" s="3">
        <f t="shared" si="42"/>
        <v>2015</v>
      </c>
      <c r="G496" s="3" t="str">
        <f t="shared" si="43"/>
        <v>Apr</v>
      </c>
      <c r="H496" s="3" t="str">
        <f t="shared" si="44"/>
        <v>Q2</v>
      </c>
      <c r="I496" s="3">
        <f t="shared" si="45"/>
        <v>3.7144562984048196E-2</v>
      </c>
      <c r="J496" s="3">
        <f t="shared" si="46"/>
        <v>4.6474097699374994E-2</v>
      </c>
      <c r="K496" s="3" t="str">
        <f t="shared" si="47"/>
        <v>Normal</v>
      </c>
      <c r="L496" s="4">
        <f>VALUE(A496)</f>
        <v>42111</v>
      </c>
    </row>
    <row r="497" spans="1:12">
      <c r="A497" s="5">
        <v>42114</v>
      </c>
      <c r="B497" s="3">
        <v>389.51001000000002</v>
      </c>
      <c r="C497" s="3">
        <v>95.734406000000007</v>
      </c>
      <c r="D497" s="3">
        <v>233.729996</v>
      </c>
      <c r="E497" s="3">
        <v>81.055717000000001</v>
      </c>
      <c r="F497" s="3">
        <f t="shared" si="42"/>
        <v>2015</v>
      </c>
      <c r="G497" s="3" t="str">
        <f t="shared" si="43"/>
        <v>Apr</v>
      </c>
      <c r="H497" s="3" t="str">
        <f t="shared" si="44"/>
        <v>Q2</v>
      </c>
      <c r="I497" s="3">
        <f t="shared" si="45"/>
        <v>4.2873943085570557E-3</v>
      </c>
      <c r="J497" s="3">
        <f t="shared" si="46"/>
        <v>2.1393488579019953E-4</v>
      </c>
      <c r="K497" s="3" t="str">
        <f t="shared" si="47"/>
        <v>Normal</v>
      </c>
      <c r="L497" s="4">
        <f>VALUE(A497)</f>
        <v>42114</v>
      </c>
    </row>
    <row r="498" spans="1:12">
      <c r="A498" s="5">
        <v>42115</v>
      </c>
      <c r="B498" s="3">
        <v>391.17999300000002</v>
      </c>
      <c r="C498" s="3">
        <v>95.484665000000007</v>
      </c>
      <c r="D498" s="3">
        <v>233.779999</v>
      </c>
      <c r="E498" s="3">
        <v>80.062859000000003</v>
      </c>
      <c r="F498" s="3">
        <f t="shared" si="42"/>
        <v>2015</v>
      </c>
      <c r="G498" s="3" t="str">
        <f t="shared" si="43"/>
        <v>Apr</v>
      </c>
      <c r="H498" s="3" t="str">
        <f t="shared" si="44"/>
        <v>Q2</v>
      </c>
      <c r="I498" s="3">
        <f t="shared" si="45"/>
        <v>-3.5278005641767051E-3</v>
      </c>
      <c r="J498" s="3">
        <f t="shared" si="46"/>
        <v>6.9295705660431146E-3</v>
      </c>
      <c r="K498" s="3" t="str">
        <f t="shared" si="47"/>
        <v>Normal</v>
      </c>
      <c r="L498" s="4">
        <f>VALUE(A498)</f>
        <v>42115</v>
      </c>
    </row>
    <row r="499" spans="1:12">
      <c r="A499" s="5">
        <v>42116</v>
      </c>
      <c r="B499" s="3">
        <v>389.79998799999998</v>
      </c>
      <c r="C499" s="3">
        <v>95.868926999999999</v>
      </c>
      <c r="D499" s="3">
        <v>235.39999399999999</v>
      </c>
      <c r="E499" s="3">
        <v>79.668571</v>
      </c>
      <c r="F499" s="3">
        <f t="shared" si="42"/>
        <v>2015</v>
      </c>
      <c r="G499" s="3" t="str">
        <f t="shared" si="43"/>
        <v>Apr</v>
      </c>
      <c r="H499" s="3" t="str">
        <f t="shared" si="44"/>
        <v>Q2</v>
      </c>
      <c r="I499" s="3">
        <f t="shared" si="45"/>
        <v>4.8743459684250345E-4</v>
      </c>
      <c r="J499" s="3">
        <f t="shared" si="46"/>
        <v>-1.830925280312445E-2</v>
      </c>
      <c r="K499" s="3" t="str">
        <f t="shared" si="47"/>
        <v>Normal</v>
      </c>
      <c r="L499" s="4">
        <f>VALUE(A499)</f>
        <v>42116</v>
      </c>
    </row>
    <row r="500" spans="1:12">
      <c r="A500" s="5">
        <v>42117</v>
      </c>
      <c r="B500" s="3">
        <v>389.98998999999998</v>
      </c>
      <c r="C500" s="3">
        <v>104.92746</v>
      </c>
      <c r="D500" s="3">
        <v>231.08999600000001</v>
      </c>
      <c r="E500" s="3">
        <v>79.865714999999994</v>
      </c>
      <c r="F500" s="3">
        <f t="shared" si="42"/>
        <v>2015</v>
      </c>
      <c r="G500" s="3" t="str">
        <f t="shared" si="43"/>
        <v>Apr</v>
      </c>
      <c r="H500" s="3" t="str">
        <f t="shared" si="44"/>
        <v>Q2</v>
      </c>
      <c r="I500" s="3">
        <f t="shared" si="45"/>
        <v>0.14131136032491509</v>
      </c>
      <c r="J500" s="3">
        <f t="shared" si="46"/>
        <v>-2.1420213274831786E-2</v>
      </c>
      <c r="K500" s="3" t="str">
        <f t="shared" si="47"/>
        <v>Normal</v>
      </c>
      <c r="L500" s="4">
        <f>VALUE(A500)</f>
        <v>42117</v>
      </c>
    </row>
    <row r="501" spans="1:12">
      <c r="A501" s="5">
        <v>42118</v>
      </c>
      <c r="B501" s="3">
        <v>445.10000600000001</v>
      </c>
      <c r="C501" s="3">
        <v>109.471146</v>
      </c>
      <c r="D501" s="3">
        <v>226.13999899999999</v>
      </c>
      <c r="E501" s="3">
        <v>79.771431000000007</v>
      </c>
      <c r="F501" s="3">
        <f t="shared" si="42"/>
        <v>2015</v>
      </c>
      <c r="G501" s="3" t="str">
        <f t="shared" si="43"/>
        <v>Apr</v>
      </c>
      <c r="H501" s="3" t="str">
        <f t="shared" si="44"/>
        <v>Q2</v>
      </c>
      <c r="I501" s="3">
        <f t="shared" si="45"/>
        <v>-1.4693345117591393E-2</v>
      </c>
      <c r="J501" s="3">
        <f t="shared" si="46"/>
        <v>-1.4592774452076547E-3</v>
      </c>
      <c r="K501" s="3" t="str">
        <f t="shared" si="47"/>
        <v>Normal</v>
      </c>
      <c r="L501" s="4">
        <f>VALUE(A501)</f>
        <v>42118</v>
      </c>
    </row>
    <row r="502" spans="1:12">
      <c r="A502" s="5">
        <v>42121</v>
      </c>
      <c r="B502" s="3">
        <v>438.55999800000001</v>
      </c>
      <c r="C502" s="3">
        <v>105.907295</v>
      </c>
      <c r="D502" s="3">
        <v>225.80999800000001</v>
      </c>
      <c r="E502" s="3">
        <v>80.868567999999996</v>
      </c>
      <c r="F502" s="3">
        <f t="shared" si="42"/>
        <v>2015</v>
      </c>
      <c r="G502" s="3" t="str">
        <f t="shared" si="43"/>
        <v>Apr</v>
      </c>
      <c r="H502" s="3" t="str">
        <f t="shared" si="44"/>
        <v>Q2</v>
      </c>
      <c r="I502" s="3">
        <f t="shared" si="45"/>
        <v>-2.1091754930188594E-2</v>
      </c>
      <c r="J502" s="3">
        <f t="shared" si="46"/>
        <v>-1.7271157320501583E-3</v>
      </c>
      <c r="K502" s="3" t="str">
        <f t="shared" si="47"/>
        <v>Normal</v>
      </c>
      <c r="L502" s="4">
        <f>VALUE(A502)</f>
        <v>42121</v>
      </c>
    </row>
    <row r="503" spans="1:12">
      <c r="A503" s="5">
        <v>42122</v>
      </c>
      <c r="B503" s="3">
        <v>429.30999800000001</v>
      </c>
      <c r="C503" s="3">
        <v>107.386612</v>
      </c>
      <c r="D503" s="3">
        <v>225.41999799999999</v>
      </c>
      <c r="E503" s="3">
        <v>80.437140999999997</v>
      </c>
      <c r="F503" s="3">
        <f t="shared" si="42"/>
        <v>2015</v>
      </c>
      <c r="G503" s="3" t="str">
        <f t="shared" si="43"/>
        <v>Apr</v>
      </c>
      <c r="H503" s="3" t="str">
        <f t="shared" si="44"/>
        <v>Q2</v>
      </c>
      <c r="I503" s="3">
        <f t="shared" si="45"/>
        <v>1.3975216109458007E-4</v>
      </c>
      <c r="J503" s="3">
        <f t="shared" si="46"/>
        <v>4.5914320343486151E-2</v>
      </c>
      <c r="K503" s="3" t="str">
        <f t="shared" si="47"/>
        <v>Normal</v>
      </c>
      <c r="L503" s="4">
        <f>VALUE(A503)</f>
        <v>42122</v>
      </c>
    </row>
    <row r="504" spans="1:12">
      <c r="A504" s="5">
        <v>42123</v>
      </c>
      <c r="B504" s="3">
        <v>429.36999500000002</v>
      </c>
      <c r="C504" s="3">
        <v>105.081154</v>
      </c>
      <c r="D504" s="3">
        <v>235.770004</v>
      </c>
      <c r="E504" s="3">
        <v>80.407143000000005</v>
      </c>
      <c r="F504" s="3">
        <f t="shared" si="42"/>
        <v>2015</v>
      </c>
      <c r="G504" s="3" t="str">
        <f t="shared" si="43"/>
        <v>Apr</v>
      </c>
      <c r="H504" s="3" t="str">
        <f t="shared" si="44"/>
        <v>Q2</v>
      </c>
      <c r="I504" s="3">
        <f t="shared" si="45"/>
        <v>-1.7677052631495691E-2</v>
      </c>
      <c r="J504" s="3">
        <f t="shared" si="46"/>
        <v>-1.0858026706399893E-2</v>
      </c>
      <c r="K504" s="3" t="str">
        <f t="shared" si="47"/>
        <v>Normal</v>
      </c>
      <c r="L504" s="4">
        <f>VALUE(A504)</f>
        <v>42123</v>
      </c>
    </row>
    <row r="505" spans="1:12">
      <c r="A505" s="5">
        <v>42124</v>
      </c>
      <c r="B505" s="3">
        <v>421.77999899999998</v>
      </c>
      <c r="C505" s="3">
        <v>103.60180699999999</v>
      </c>
      <c r="D505" s="3">
        <v>233.21000699999999</v>
      </c>
      <c r="E505" s="3">
        <v>79.5</v>
      </c>
      <c r="F505" s="3">
        <f t="shared" si="42"/>
        <v>2015</v>
      </c>
      <c r="G505" s="3" t="str">
        <f t="shared" si="43"/>
        <v>Apr</v>
      </c>
      <c r="H505" s="3" t="str">
        <f t="shared" si="44"/>
        <v>Q2</v>
      </c>
      <c r="I505" s="3">
        <f t="shared" si="45"/>
        <v>2.5842761690557121E-3</v>
      </c>
      <c r="J505" s="3">
        <f t="shared" si="46"/>
        <v>9.1333516404380685E-3</v>
      </c>
      <c r="K505" s="3" t="str">
        <f t="shared" si="47"/>
        <v>Normal</v>
      </c>
      <c r="L505" s="4">
        <f>VALUE(A505)</f>
        <v>42124</v>
      </c>
    </row>
    <row r="506" spans="1:12">
      <c r="A506" s="5">
        <v>42125</v>
      </c>
      <c r="B506" s="3">
        <v>422.86999500000002</v>
      </c>
      <c r="C506" s="3">
        <v>104.07250999999999</v>
      </c>
      <c r="D506" s="3">
        <v>235.33999600000001</v>
      </c>
      <c r="E506" s="3">
        <v>79.575714000000005</v>
      </c>
      <c r="F506" s="3">
        <f t="shared" si="42"/>
        <v>2015</v>
      </c>
      <c r="G506" s="3" t="str">
        <f t="shared" si="43"/>
        <v>May</v>
      </c>
      <c r="H506" s="3" t="str">
        <f t="shared" si="44"/>
        <v>Q2</v>
      </c>
      <c r="I506" s="3">
        <f t="shared" si="45"/>
        <v>4.0204791545917217E-4</v>
      </c>
      <c r="J506" s="3">
        <f t="shared" si="46"/>
        <v>2.039649053108637E-3</v>
      </c>
      <c r="K506" s="3" t="str">
        <f t="shared" si="47"/>
        <v>Normal</v>
      </c>
      <c r="L506" s="4">
        <f>VALUE(A506)</f>
        <v>42125</v>
      </c>
    </row>
    <row r="507" spans="1:12">
      <c r="A507" s="5">
        <v>42128</v>
      </c>
      <c r="B507" s="3">
        <v>423.040009</v>
      </c>
      <c r="C507" s="3">
        <v>103.67868</v>
      </c>
      <c r="D507" s="3">
        <v>235.820007</v>
      </c>
      <c r="E507" s="3">
        <v>79.271431000000007</v>
      </c>
      <c r="F507" s="3">
        <f t="shared" si="42"/>
        <v>2015</v>
      </c>
      <c r="G507" s="3" t="str">
        <f t="shared" si="43"/>
        <v>May</v>
      </c>
      <c r="H507" s="3" t="str">
        <f t="shared" si="44"/>
        <v>Q2</v>
      </c>
      <c r="I507" s="3">
        <f t="shared" si="45"/>
        <v>-4.373125379732121E-3</v>
      </c>
      <c r="J507" s="3">
        <f t="shared" si="46"/>
        <v>-2.4552658078752412E-2</v>
      </c>
      <c r="K507" s="3" t="str">
        <f t="shared" si="47"/>
        <v>Normal</v>
      </c>
      <c r="L507" s="4">
        <f>VALUE(A507)</f>
        <v>42128</v>
      </c>
    </row>
    <row r="508" spans="1:12">
      <c r="A508" s="5">
        <v>42129</v>
      </c>
      <c r="B508" s="3">
        <v>421.19000199999999</v>
      </c>
      <c r="C508" s="3">
        <v>101.54611199999999</v>
      </c>
      <c r="D508" s="3">
        <v>230.029999</v>
      </c>
      <c r="E508" s="3">
        <v>80.792854000000005</v>
      </c>
      <c r="F508" s="3">
        <f t="shared" si="42"/>
        <v>2015</v>
      </c>
      <c r="G508" s="3" t="str">
        <f t="shared" si="43"/>
        <v>May</v>
      </c>
      <c r="H508" s="3" t="str">
        <f t="shared" si="44"/>
        <v>Q2</v>
      </c>
      <c r="I508" s="3">
        <f t="shared" si="45"/>
        <v>-4.9621215842630215E-3</v>
      </c>
      <c r="J508" s="3">
        <f t="shared" si="46"/>
        <v>3.3473881813128194E-2</v>
      </c>
      <c r="K508" s="3" t="str">
        <f t="shared" si="47"/>
        <v>Normal</v>
      </c>
      <c r="L508" s="4">
        <f>VALUE(A508)</f>
        <v>42129</v>
      </c>
    </row>
    <row r="509" spans="1:12">
      <c r="A509" s="5">
        <v>42130</v>
      </c>
      <c r="B509" s="3">
        <v>419.10000600000001</v>
      </c>
      <c r="C509" s="3">
        <v>101.949562</v>
      </c>
      <c r="D509" s="3">
        <v>237.729996</v>
      </c>
      <c r="E509" s="3">
        <v>80.077140999999997</v>
      </c>
      <c r="F509" s="3">
        <f t="shared" si="42"/>
        <v>2015</v>
      </c>
      <c r="G509" s="3" t="str">
        <f t="shared" si="43"/>
        <v>May</v>
      </c>
      <c r="H509" s="3" t="str">
        <f t="shared" si="44"/>
        <v>Q2</v>
      </c>
      <c r="I509" s="3">
        <f t="shared" si="45"/>
        <v>1.8563585990499783E-2</v>
      </c>
      <c r="J509" s="3">
        <f t="shared" si="46"/>
        <v>2.528081900106538E-2</v>
      </c>
      <c r="K509" s="3" t="str">
        <f t="shared" si="47"/>
        <v>Normal</v>
      </c>
      <c r="L509" s="4">
        <f>VALUE(A509)</f>
        <v>42130</v>
      </c>
    </row>
    <row r="510" spans="1:12">
      <c r="A510" s="5">
        <v>42131</v>
      </c>
      <c r="B510" s="3">
        <v>426.88000499999998</v>
      </c>
      <c r="C510" s="3">
        <v>103.67868</v>
      </c>
      <c r="D510" s="3">
        <v>243.740005</v>
      </c>
      <c r="E510" s="3">
        <v>80.748572999999993</v>
      </c>
      <c r="F510" s="3">
        <f t="shared" si="42"/>
        <v>2015</v>
      </c>
      <c r="G510" s="3" t="str">
        <f t="shared" si="43"/>
        <v>May</v>
      </c>
      <c r="H510" s="3" t="str">
        <f t="shared" si="44"/>
        <v>Q2</v>
      </c>
      <c r="I510" s="3">
        <f t="shared" si="45"/>
        <v>1.5952953804898896E-2</v>
      </c>
      <c r="J510" s="3">
        <f t="shared" si="46"/>
        <v>-9.6004387954287777E-3</v>
      </c>
      <c r="K510" s="3" t="str">
        <f t="shared" si="47"/>
        <v>Normal</v>
      </c>
      <c r="L510" s="4">
        <f>VALUE(A510)</f>
        <v>42131</v>
      </c>
    </row>
    <row r="511" spans="1:12">
      <c r="A511" s="5">
        <v>42132</v>
      </c>
      <c r="B511" s="3">
        <v>433.69000199999999</v>
      </c>
      <c r="C511" s="3">
        <v>104.83139799999999</v>
      </c>
      <c r="D511" s="3">
        <v>241.39999399999999</v>
      </c>
      <c r="E511" s="3">
        <v>82.085716000000005</v>
      </c>
      <c r="F511" s="3">
        <f t="shared" si="42"/>
        <v>2015</v>
      </c>
      <c r="G511" s="3" t="str">
        <f t="shared" si="43"/>
        <v>May</v>
      </c>
      <c r="H511" s="3" t="str">
        <f t="shared" si="44"/>
        <v>Q2</v>
      </c>
      <c r="I511" s="3">
        <f t="shared" si="45"/>
        <v>-1.9368581155347572E-3</v>
      </c>
      <c r="J511" s="3">
        <f t="shared" si="46"/>
        <v>7.4568353137579224E-4</v>
      </c>
      <c r="K511" s="3" t="str">
        <f t="shared" si="47"/>
        <v>Normal</v>
      </c>
      <c r="L511" s="4">
        <f>VALUE(A511)</f>
        <v>42132</v>
      </c>
    </row>
    <row r="512" spans="1:12">
      <c r="A512" s="5">
        <v>42135</v>
      </c>
      <c r="B512" s="3">
        <v>432.85000600000001</v>
      </c>
      <c r="C512" s="3">
        <v>105.51342</v>
      </c>
      <c r="D512" s="3">
        <v>241.58000200000001</v>
      </c>
      <c r="E512" s="3">
        <v>84.278571999999997</v>
      </c>
      <c r="F512" s="3">
        <f t="shared" si="42"/>
        <v>2015</v>
      </c>
      <c r="G512" s="3" t="str">
        <f t="shared" si="43"/>
        <v>May</v>
      </c>
      <c r="H512" s="3" t="str">
        <f t="shared" si="44"/>
        <v>Q2</v>
      </c>
      <c r="I512" s="3">
        <f t="shared" si="45"/>
        <v>-4.227831753801565E-3</v>
      </c>
      <c r="J512" s="3">
        <f t="shared" si="46"/>
        <v>-2.1524948079104645E-2</v>
      </c>
      <c r="K512" s="3" t="str">
        <f t="shared" si="47"/>
        <v>Normal</v>
      </c>
      <c r="L512" s="4">
        <f>VALUE(A512)</f>
        <v>42135</v>
      </c>
    </row>
    <row r="513" spans="1:12">
      <c r="A513" s="5">
        <v>42136</v>
      </c>
      <c r="B513" s="3">
        <v>431.01998900000001</v>
      </c>
      <c r="C513" s="3">
        <v>104.76416</v>
      </c>
      <c r="D513" s="3">
        <v>236.38000500000001</v>
      </c>
      <c r="E513" s="3">
        <v>83.377144000000001</v>
      </c>
      <c r="F513" s="3">
        <f t="shared" si="42"/>
        <v>2015</v>
      </c>
      <c r="G513" s="3" t="str">
        <f t="shared" si="43"/>
        <v>May</v>
      </c>
      <c r="H513" s="3" t="str">
        <f t="shared" si="44"/>
        <v>Q2</v>
      </c>
      <c r="I513" s="3">
        <f t="shared" si="45"/>
        <v>-9.6283098369249701E-3</v>
      </c>
      <c r="J513" s="3">
        <f t="shared" si="46"/>
        <v>2.1998011210803601E-3</v>
      </c>
      <c r="K513" s="3" t="str">
        <f t="shared" si="47"/>
        <v>Normal</v>
      </c>
      <c r="L513" s="4">
        <f>VALUE(A513)</f>
        <v>42136</v>
      </c>
    </row>
    <row r="514" spans="1:12">
      <c r="A514" s="5">
        <v>42137</v>
      </c>
      <c r="B514" s="3">
        <v>426.86999500000002</v>
      </c>
      <c r="C514" s="3">
        <v>104.39913199999999</v>
      </c>
      <c r="D514" s="3">
        <v>236.89999399999999</v>
      </c>
      <c r="E514" s="3">
        <v>82.872855999999999</v>
      </c>
      <c r="F514" s="3">
        <f t="shared" si="42"/>
        <v>2015</v>
      </c>
      <c r="G514" s="3" t="str">
        <f t="shared" si="43"/>
        <v>May</v>
      </c>
      <c r="H514" s="3" t="str">
        <f t="shared" si="44"/>
        <v>Q2</v>
      </c>
      <c r="I514" s="3">
        <f t="shared" si="45"/>
        <v>1.2673657233743866E-2</v>
      </c>
      <c r="J514" s="3">
        <f t="shared" si="46"/>
        <v>1.2663698083504543E-3</v>
      </c>
      <c r="K514" s="3" t="str">
        <f t="shared" si="47"/>
        <v>Normal</v>
      </c>
      <c r="L514" s="4">
        <f>VALUE(A514)</f>
        <v>42137</v>
      </c>
    </row>
    <row r="515" spans="1:12">
      <c r="A515" s="5">
        <v>42138</v>
      </c>
      <c r="B515" s="3">
        <v>432.27999899999998</v>
      </c>
      <c r="C515" s="3">
        <v>105.580681</v>
      </c>
      <c r="D515" s="3">
        <v>237.199997</v>
      </c>
      <c r="E515" s="3">
        <v>83.835716000000005</v>
      </c>
      <c r="F515" s="3">
        <f t="shared" ref="F515:F578" si="48">YEAR(A515)</f>
        <v>2015</v>
      </c>
      <c r="G515" s="3" t="str">
        <f t="shared" ref="G515:G578" si="49">TEXT(A515,"MMM")</f>
        <v>May</v>
      </c>
      <c r="H515" s="3" t="str">
        <f t="shared" ref="H515:H578" si="50">"Q"&amp;ROUNDUP(MONTH(A515)/3,0)</f>
        <v>Q2</v>
      </c>
      <c r="I515" s="3">
        <f t="shared" ref="I515:I578" si="51">(B516-B515)/B515</f>
        <v>-1.452761870668917E-2</v>
      </c>
      <c r="J515" s="3">
        <f t="shared" ref="J515:J578" si="52">(D516-D515)/D515</f>
        <v>-4.0893803215351493E-3</v>
      </c>
      <c r="K515" s="3" t="str">
        <f t="shared" ref="K515:K578" si="53">IF(J515="","",IF(ABS(J515)&gt;0.05,"High Volatility","Normal"))</f>
        <v>Normal</v>
      </c>
      <c r="L515" s="4">
        <f>VALUE(A515)</f>
        <v>42138</v>
      </c>
    </row>
    <row r="516" spans="1:12">
      <c r="A516" s="5">
        <v>42139</v>
      </c>
      <c r="B516" s="3">
        <v>426</v>
      </c>
      <c r="C516" s="3">
        <v>105.993752</v>
      </c>
      <c r="D516" s="3">
        <v>236.229996</v>
      </c>
      <c r="E516" s="3">
        <v>87.607140000000001</v>
      </c>
      <c r="F516" s="3">
        <f t="shared" si="48"/>
        <v>2015</v>
      </c>
      <c r="G516" s="3" t="str">
        <f t="shared" si="49"/>
        <v>May</v>
      </c>
      <c r="H516" s="3" t="str">
        <f t="shared" si="50"/>
        <v>Q2</v>
      </c>
      <c r="I516" s="3">
        <f t="shared" si="51"/>
        <v>-1.7840610328639026E-3</v>
      </c>
      <c r="J516" s="3">
        <f t="shared" si="52"/>
        <v>-1.782158096467986E-2</v>
      </c>
      <c r="K516" s="3" t="str">
        <f t="shared" si="53"/>
        <v>Normal</v>
      </c>
      <c r="L516" s="4">
        <f>VALUE(A516)</f>
        <v>42139</v>
      </c>
    </row>
    <row r="517" spans="1:12">
      <c r="A517" s="5">
        <v>42142</v>
      </c>
      <c r="B517" s="3">
        <v>425.23998999999998</v>
      </c>
      <c r="C517" s="3">
        <v>106.714172</v>
      </c>
      <c r="D517" s="3">
        <v>232.020004</v>
      </c>
      <c r="E517" s="3">
        <v>88.267143000000004</v>
      </c>
      <c r="F517" s="3">
        <f t="shared" si="48"/>
        <v>2015</v>
      </c>
      <c r="G517" s="3" t="str">
        <f t="shared" si="49"/>
        <v>May</v>
      </c>
      <c r="H517" s="3" t="str">
        <f t="shared" si="50"/>
        <v>Q2</v>
      </c>
      <c r="I517" s="3">
        <f t="shared" si="51"/>
        <v>-8.301192463107657E-3</v>
      </c>
      <c r="J517" s="3">
        <f t="shared" si="52"/>
        <v>8.3613609454122328E-3</v>
      </c>
      <c r="K517" s="3" t="str">
        <f t="shared" si="53"/>
        <v>Normal</v>
      </c>
      <c r="L517" s="4">
        <f>VALUE(A517)</f>
        <v>42142</v>
      </c>
    </row>
    <row r="518" spans="1:12">
      <c r="A518" s="5">
        <v>42143</v>
      </c>
      <c r="B518" s="3">
        <v>421.709991</v>
      </c>
      <c r="C518" s="3">
        <v>106.195465</v>
      </c>
      <c r="D518" s="3">
        <v>233.96000699999999</v>
      </c>
      <c r="E518" s="3">
        <v>88.068573000000001</v>
      </c>
      <c r="F518" s="3">
        <f t="shared" si="48"/>
        <v>2015</v>
      </c>
      <c r="G518" s="3" t="str">
        <f t="shared" si="49"/>
        <v>May</v>
      </c>
      <c r="H518" s="3" t="str">
        <f t="shared" si="50"/>
        <v>Q2</v>
      </c>
      <c r="I518" s="3">
        <f t="shared" si="51"/>
        <v>5.0982761752969528E-3</v>
      </c>
      <c r="J518" s="3">
        <f t="shared" si="52"/>
        <v>6.0694048449059113E-3</v>
      </c>
      <c r="K518" s="3" t="str">
        <f t="shared" si="53"/>
        <v>Normal</v>
      </c>
      <c r="L518" s="4">
        <f>VALUE(A518)</f>
        <v>42143</v>
      </c>
    </row>
    <row r="519" spans="1:12">
      <c r="A519" s="5">
        <v>42144</v>
      </c>
      <c r="B519" s="3">
        <v>423.85998499999999</v>
      </c>
      <c r="C519" s="3">
        <v>106.06098900000001</v>
      </c>
      <c r="D519" s="3">
        <v>235.38000500000001</v>
      </c>
      <c r="E519" s="3">
        <v>88.790001000000004</v>
      </c>
      <c r="F519" s="3">
        <f t="shared" si="48"/>
        <v>2015</v>
      </c>
      <c r="G519" s="3" t="str">
        <f t="shared" si="49"/>
        <v>May</v>
      </c>
      <c r="H519" s="3" t="str">
        <f t="shared" si="50"/>
        <v>Q2</v>
      </c>
      <c r="I519" s="3">
        <f t="shared" si="51"/>
        <v>1.8331572394124414E-2</v>
      </c>
      <c r="J519" s="3">
        <f t="shared" si="52"/>
        <v>2.1199719152015385E-2</v>
      </c>
      <c r="K519" s="3" t="str">
        <f t="shared" si="53"/>
        <v>Normal</v>
      </c>
      <c r="L519" s="4">
        <f>VALUE(A519)</f>
        <v>42144</v>
      </c>
    </row>
    <row r="520" spans="1:12">
      <c r="A520" s="5">
        <v>42145</v>
      </c>
      <c r="B520" s="3">
        <v>431.63000499999998</v>
      </c>
      <c r="C520" s="3">
        <v>105.734375</v>
      </c>
      <c r="D520" s="3">
        <v>240.36999499999999</v>
      </c>
      <c r="E520" s="3">
        <v>89.002853000000002</v>
      </c>
      <c r="F520" s="3">
        <f t="shared" si="48"/>
        <v>2015</v>
      </c>
      <c r="G520" s="3" t="str">
        <f t="shared" si="49"/>
        <v>May</v>
      </c>
      <c r="H520" s="3" t="str">
        <f t="shared" si="50"/>
        <v>Q2</v>
      </c>
      <c r="I520" s="3">
        <f t="shared" si="51"/>
        <v>-9.267196334045406E-3</v>
      </c>
      <c r="J520" s="3">
        <f t="shared" si="52"/>
        <v>-5.9491327110107739E-3</v>
      </c>
      <c r="K520" s="3" t="str">
        <f t="shared" si="53"/>
        <v>Normal</v>
      </c>
      <c r="L520" s="4">
        <f>VALUE(A520)</f>
        <v>42145</v>
      </c>
    </row>
    <row r="521" spans="1:12">
      <c r="A521" s="5">
        <v>42146</v>
      </c>
      <c r="B521" s="3">
        <v>427.63000499999998</v>
      </c>
      <c r="C521" s="3">
        <v>104.735344</v>
      </c>
      <c r="D521" s="3">
        <v>238.94000199999999</v>
      </c>
      <c r="E521" s="3">
        <v>88.838570000000004</v>
      </c>
      <c r="F521" s="3">
        <f t="shared" si="48"/>
        <v>2015</v>
      </c>
      <c r="G521" s="3" t="str">
        <f t="shared" si="49"/>
        <v>May</v>
      </c>
      <c r="H521" s="3" t="str">
        <f t="shared" si="50"/>
        <v>Q2</v>
      </c>
      <c r="I521" s="3">
        <f t="shared" si="51"/>
        <v>-5.0511048680972658E-3</v>
      </c>
      <c r="J521" s="3">
        <f t="shared" si="52"/>
        <v>-6.90553689708257E-3</v>
      </c>
      <c r="K521" s="3" t="str">
        <f t="shared" si="53"/>
        <v>Normal</v>
      </c>
      <c r="L521" s="4">
        <f>VALUE(A521)</f>
        <v>42146</v>
      </c>
    </row>
    <row r="522" spans="1:12">
      <c r="A522" s="5">
        <v>42150</v>
      </c>
      <c r="B522" s="3">
        <v>425.47000100000002</v>
      </c>
      <c r="C522" s="3">
        <v>104.283852</v>
      </c>
      <c r="D522" s="3">
        <v>237.28999300000001</v>
      </c>
      <c r="E522" s="3">
        <v>87.992858999999996</v>
      </c>
      <c r="F522" s="3">
        <f t="shared" si="48"/>
        <v>2015</v>
      </c>
      <c r="G522" s="3" t="str">
        <f t="shared" si="49"/>
        <v>May</v>
      </c>
      <c r="H522" s="3" t="str">
        <f t="shared" si="50"/>
        <v>Q2</v>
      </c>
      <c r="I522" s="3">
        <f t="shared" si="51"/>
        <v>1.398456292104119E-2</v>
      </c>
      <c r="J522" s="3">
        <f t="shared" si="52"/>
        <v>1.264865813367621E-4</v>
      </c>
      <c r="K522" s="3" t="str">
        <f t="shared" si="53"/>
        <v>Normal</v>
      </c>
      <c r="L522" s="4">
        <f>VALUE(A522)</f>
        <v>42150</v>
      </c>
    </row>
    <row r="523" spans="1:12">
      <c r="A523" s="5">
        <v>42151</v>
      </c>
      <c r="B523" s="3">
        <v>431.42001299999998</v>
      </c>
      <c r="C523" s="3">
        <v>104.37030799999999</v>
      </c>
      <c r="D523" s="3">
        <v>237.320007</v>
      </c>
      <c r="E523" s="3">
        <v>89.857140000000001</v>
      </c>
      <c r="F523" s="3">
        <f t="shared" si="48"/>
        <v>2015</v>
      </c>
      <c r="G523" s="3" t="str">
        <f t="shared" si="49"/>
        <v>May</v>
      </c>
      <c r="H523" s="3" t="str">
        <f t="shared" si="50"/>
        <v>Q2</v>
      </c>
      <c r="I523" s="3">
        <f t="shared" si="51"/>
        <v>-1.1241958773015957E-2</v>
      </c>
      <c r="J523" s="3">
        <f t="shared" si="52"/>
        <v>-1.2220124365662952E-3</v>
      </c>
      <c r="K523" s="3" t="str">
        <f t="shared" si="53"/>
        <v>Normal</v>
      </c>
      <c r="L523" s="4">
        <f>VALUE(A523)</f>
        <v>42151</v>
      </c>
    </row>
    <row r="524" spans="1:12">
      <c r="A524" s="5">
        <v>42152</v>
      </c>
      <c r="B524" s="3">
        <v>426.57000699999998</v>
      </c>
      <c r="C524" s="3">
        <v>104.908241</v>
      </c>
      <c r="D524" s="3">
        <v>237.029999</v>
      </c>
      <c r="E524" s="3">
        <v>89.507141000000004</v>
      </c>
      <c r="F524" s="3">
        <f t="shared" si="48"/>
        <v>2015</v>
      </c>
      <c r="G524" s="3" t="str">
        <f t="shared" si="49"/>
        <v>May</v>
      </c>
      <c r="H524" s="3" t="str">
        <f t="shared" si="50"/>
        <v>Q2</v>
      </c>
      <c r="I524" s="3">
        <f t="shared" si="51"/>
        <v>6.2357970704677674E-3</v>
      </c>
      <c r="J524" s="3">
        <f t="shared" si="52"/>
        <v>-1.6073906324405828E-2</v>
      </c>
      <c r="K524" s="3" t="str">
        <f t="shared" si="53"/>
        <v>Normal</v>
      </c>
      <c r="L524" s="4">
        <f>VALUE(A524)</f>
        <v>42152</v>
      </c>
    </row>
    <row r="525" spans="1:12">
      <c r="A525" s="5">
        <v>42153</v>
      </c>
      <c r="B525" s="3">
        <v>429.23001099999999</v>
      </c>
      <c r="C525" s="3">
        <v>104.379921</v>
      </c>
      <c r="D525" s="3">
        <v>233.220001</v>
      </c>
      <c r="E525" s="3">
        <v>89.151427999999996</v>
      </c>
      <c r="F525" s="3">
        <f t="shared" si="48"/>
        <v>2015</v>
      </c>
      <c r="G525" s="3" t="str">
        <f t="shared" si="49"/>
        <v>May</v>
      </c>
      <c r="H525" s="3" t="str">
        <f t="shared" si="50"/>
        <v>Q2</v>
      </c>
      <c r="I525" s="3">
        <f t="shared" si="51"/>
        <v>3.9372876003304271E-3</v>
      </c>
      <c r="J525" s="3">
        <f t="shared" si="52"/>
        <v>-3.2072703747222778E-2</v>
      </c>
      <c r="K525" s="3" t="str">
        <f t="shared" si="53"/>
        <v>Normal</v>
      </c>
      <c r="L525" s="4">
        <f>VALUE(A525)</f>
        <v>42153</v>
      </c>
    </row>
    <row r="526" spans="1:12">
      <c r="A526" s="5">
        <v>42156</v>
      </c>
      <c r="B526" s="3">
        <v>430.92001299999998</v>
      </c>
      <c r="C526" s="3">
        <v>104.75456200000001</v>
      </c>
      <c r="D526" s="3">
        <v>225.740005</v>
      </c>
      <c r="E526" s="3">
        <v>89.002853000000002</v>
      </c>
      <c r="F526" s="3">
        <f t="shared" si="48"/>
        <v>2015</v>
      </c>
      <c r="G526" s="3" t="str">
        <f t="shared" si="49"/>
        <v>Jun</v>
      </c>
      <c r="H526" s="3" t="str">
        <f t="shared" si="50"/>
        <v>Q2</v>
      </c>
      <c r="I526" s="3">
        <f t="shared" si="51"/>
        <v>1.6238976582411458E-4</v>
      </c>
      <c r="J526" s="3">
        <f t="shared" si="52"/>
        <v>-6.6452111578531672E-4</v>
      </c>
      <c r="K526" s="3" t="str">
        <f t="shared" si="53"/>
        <v>Normal</v>
      </c>
      <c r="L526" s="4">
        <f>VALUE(A526)</f>
        <v>42156</v>
      </c>
    </row>
    <row r="527" spans="1:12">
      <c r="A527" s="5">
        <v>42157</v>
      </c>
      <c r="B527" s="3">
        <v>430.98998999999998</v>
      </c>
      <c r="C527" s="3">
        <v>104.581627</v>
      </c>
      <c r="D527" s="3">
        <v>225.58999600000001</v>
      </c>
      <c r="E527" s="3">
        <v>89.129997000000003</v>
      </c>
      <c r="F527" s="3">
        <f t="shared" si="48"/>
        <v>2015</v>
      </c>
      <c r="G527" s="3" t="str">
        <f t="shared" si="49"/>
        <v>Jun</v>
      </c>
      <c r="H527" s="3" t="str">
        <f t="shared" si="50"/>
        <v>Q2</v>
      </c>
      <c r="I527" s="3">
        <f t="shared" si="51"/>
        <v>1.2993355135695861E-2</v>
      </c>
      <c r="J527" s="3">
        <f t="shared" si="52"/>
        <v>-6.0729421707158377E-3</v>
      </c>
      <c r="K527" s="3" t="str">
        <f t="shared" si="53"/>
        <v>Normal</v>
      </c>
      <c r="L527" s="4">
        <f>VALUE(A527)</f>
        <v>42157</v>
      </c>
    </row>
    <row r="528" spans="1:12">
      <c r="A528" s="5">
        <v>42158</v>
      </c>
      <c r="B528" s="3">
        <v>436.58999599999999</v>
      </c>
      <c r="C528" s="3">
        <v>104.696907</v>
      </c>
      <c r="D528" s="3">
        <v>224.220001</v>
      </c>
      <c r="E528" s="3">
        <v>88.808571000000001</v>
      </c>
      <c r="F528" s="3">
        <f t="shared" si="48"/>
        <v>2015</v>
      </c>
      <c r="G528" s="3" t="str">
        <f t="shared" si="49"/>
        <v>Jun</v>
      </c>
      <c r="H528" s="3" t="str">
        <f t="shared" si="50"/>
        <v>Q2</v>
      </c>
      <c r="I528" s="3">
        <f t="shared" si="51"/>
        <v>-1.3307673224834978E-2</v>
      </c>
      <c r="J528" s="3">
        <f t="shared" si="52"/>
        <v>4.7720631309782812E-3</v>
      </c>
      <c r="K528" s="3" t="str">
        <f t="shared" si="53"/>
        <v>Normal</v>
      </c>
      <c r="L528" s="4">
        <f>VALUE(A528)</f>
        <v>42158</v>
      </c>
    </row>
    <row r="529" spans="1:12">
      <c r="A529" s="5">
        <v>42159</v>
      </c>
      <c r="B529" s="3">
        <v>430.77999899999998</v>
      </c>
      <c r="C529" s="3">
        <v>104.735344</v>
      </c>
      <c r="D529" s="3">
        <v>225.28999300000001</v>
      </c>
      <c r="E529" s="3">
        <v>89.348572000000004</v>
      </c>
      <c r="F529" s="3">
        <f t="shared" si="48"/>
        <v>2015</v>
      </c>
      <c r="G529" s="3" t="str">
        <f t="shared" si="49"/>
        <v>Jun</v>
      </c>
      <c r="H529" s="3" t="str">
        <f t="shared" si="50"/>
        <v>Q2</v>
      </c>
      <c r="I529" s="3">
        <f t="shared" si="51"/>
        <v>-8.8908190001643055E-3</v>
      </c>
      <c r="J529" s="3">
        <f t="shared" si="52"/>
        <v>-2.4412446938999782E-3</v>
      </c>
      <c r="K529" s="3" t="str">
        <f t="shared" si="53"/>
        <v>Normal</v>
      </c>
      <c r="L529" s="4">
        <f>VALUE(A529)</f>
        <v>42159</v>
      </c>
    </row>
    <row r="530" spans="1:12">
      <c r="A530" s="5">
        <v>42160</v>
      </c>
      <c r="B530" s="3">
        <v>426.95001200000002</v>
      </c>
      <c r="C530" s="3">
        <v>105.667152</v>
      </c>
      <c r="D530" s="3">
        <v>224.740005</v>
      </c>
      <c r="E530" s="3">
        <v>90.459998999999996</v>
      </c>
      <c r="F530" s="3">
        <f t="shared" si="48"/>
        <v>2015</v>
      </c>
      <c r="G530" s="3" t="str">
        <f t="shared" si="49"/>
        <v>Jun</v>
      </c>
      <c r="H530" s="3" t="str">
        <f t="shared" si="50"/>
        <v>Q2</v>
      </c>
      <c r="I530" s="3">
        <f t="shared" si="51"/>
        <v>-8.0805993747109089E-3</v>
      </c>
      <c r="J530" s="3">
        <f t="shared" si="52"/>
        <v>2.1446973804241088E-2</v>
      </c>
      <c r="K530" s="3" t="str">
        <f t="shared" si="53"/>
        <v>Normal</v>
      </c>
      <c r="L530" s="4">
        <f>VALUE(A530)</f>
        <v>42160</v>
      </c>
    </row>
    <row r="531" spans="1:12">
      <c r="A531" s="5">
        <v>42163</v>
      </c>
      <c r="B531" s="3">
        <v>423.5</v>
      </c>
      <c r="C531" s="3">
        <v>105.54222900000001</v>
      </c>
      <c r="D531" s="3">
        <v>229.55999800000001</v>
      </c>
      <c r="E531" s="3">
        <v>89.604286000000002</v>
      </c>
      <c r="F531" s="3">
        <f t="shared" si="48"/>
        <v>2015</v>
      </c>
      <c r="G531" s="3" t="str">
        <f t="shared" si="49"/>
        <v>Jun</v>
      </c>
      <c r="H531" s="3" t="str">
        <f t="shared" si="50"/>
        <v>Q2</v>
      </c>
      <c r="I531" s="3">
        <f t="shared" si="51"/>
        <v>4.6753506493506271E-3</v>
      </c>
      <c r="J531" s="3">
        <f t="shared" si="52"/>
        <v>-3.3542647094812988E-3</v>
      </c>
      <c r="K531" s="3" t="str">
        <f t="shared" si="53"/>
        <v>Normal</v>
      </c>
      <c r="L531" s="4">
        <f>VALUE(A531)</f>
        <v>42163</v>
      </c>
    </row>
    <row r="532" spans="1:12">
      <c r="A532" s="5">
        <v>42164</v>
      </c>
      <c r="B532" s="3">
        <v>425.48001099999999</v>
      </c>
      <c r="C532" s="3">
        <v>106.08019299999999</v>
      </c>
      <c r="D532" s="3">
        <v>228.78999300000001</v>
      </c>
      <c r="E532" s="3">
        <v>92.449996999999996</v>
      </c>
      <c r="F532" s="3">
        <f t="shared" si="48"/>
        <v>2015</v>
      </c>
      <c r="G532" s="3" t="str">
        <f t="shared" si="49"/>
        <v>Jun</v>
      </c>
      <c r="H532" s="3" t="str">
        <f t="shared" si="50"/>
        <v>Q2</v>
      </c>
      <c r="I532" s="3">
        <f t="shared" si="51"/>
        <v>1.2432964800313544E-2</v>
      </c>
      <c r="J532" s="3">
        <f t="shared" si="52"/>
        <v>4.7642468348692221E-3</v>
      </c>
      <c r="K532" s="3" t="str">
        <f t="shared" si="53"/>
        <v>Normal</v>
      </c>
      <c r="L532" s="4">
        <f>VALUE(A532)</f>
        <v>42164</v>
      </c>
    </row>
    <row r="533" spans="1:12">
      <c r="A533" s="5">
        <v>42165</v>
      </c>
      <c r="B533" s="3">
        <v>430.76998900000001</v>
      </c>
      <c r="C533" s="3">
        <v>107.962975</v>
      </c>
      <c r="D533" s="3">
        <v>229.88000500000001</v>
      </c>
      <c r="E533" s="3">
        <v>95.871429000000006</v>
      </c>
      <c r="F533" s="3">
        <f t="shared" si="48"/>
        <v>2015</v>
      </c>
      <c r="G533" s="3" t="str">
        <f t="shared" si="49"/>
        <v>Jun</v>
      </c>
      <c r="H533" s="3" t="str">
        <f t="shared" si="50"/>
        <v>Q2</v>
      </c>
      <c r="I533" s="3">
        <f t="shared" si="51"/>
        <v>5.1071617247691204E-3</v>
      </c>
      <c r="J533" s="3">
        <f t="shared" si="52"/>
        <v>2.5230641525346193E-3</v>
      </c>
      <c r="K533" s="3" t="str">
        <f t="shared" si="53"/>
        <v>Normal</v>
      </c>
      <c r="L533" s="4">
        <f>VALUE(A533)</f>
        <v>42165</v>
      </c>
    </row>
    <row r="534" spans="1:12">
      <c r="A534" s="5">
        <v>42166</v>
      </c>
      <c r="B534" s="3">
        <v>432.97000100000002</v>
      </c>
      <c r="C534" s="3">
        <v>107.81849699999999</v>
      </c>
      <c r="D534" s="3">
        <v>230.46000699999999</v>
      </c>
      <c r="E534" s="3">
        <v>95.094284000000002</v>
      </c>
      <c r="F534" s="3">
        <f t="shared" si="48"/>
        <v>2015</v>
      </c>
      <c r="G534" s="3" t="str">
        <f t="shared" si="49"/>
        <v>Jun</v>
      </c>
      <c r="H534" s="3" t="str">
        <f t="shared" si="50"/>
        <v>Q2</v>
      </c>
      <c r="I534" s="3">
        <f t="shared" si="51"/>
        <v>-7.0443402382513827E-3</v>
      </c>
      <c r="J534" s="3">
        <f t="shared" si="52"/>
        <v>8.7650305417200196E-3</v>
      </c>
      <c r="K534" s="3" t="str">
        <f t="shared" si="53"/>
        <v>Normal</v>
      </c>
      <c r="L534" s="4">
        <f>VALUE(A534)</f>
        <v>42166</v>
      </c>
    </row>
    <row r="535" spans="1:12">
      <c r="A535" s="5">
        <v>42167</v>
      </c>
      <c r="B535" s="3">
        <v>429.92001299999998</v>
      </c>
      <c r="C535" s="3">
        <v>108.165268</v>
      </c>
      <c r="D535" s="3">
        <v>232.479996</v>
      </c>
      <c r="E535" s="3">
        <v>94.418571</v>
      </c>
      <c r="F535" s="3">
        <f t="shared" si="48"/>
        <v>2015</v>
      </c>
      <c r="G535" s="3" t="str">
        <f t="shared" si="49"/>
        <v>Jun</v>
      </c>
      <c r="H535" s="3" t="str">
        <f t="shared" si="50"/>
        <v>Q2</v>
      </c>
      <c r="I535" s="3">
        <f t="shared" si="51"/>
        <v>-1.4537587948947146E-2</v>
      </c>
      <c r="J535" s="3">
        <f t="shared" si="52"/>
        <v>7.4587109851808511E-2</v>
      </c>
      <c r="K535" s="3" t="str">
        <f t="shared" si="53"/>
        <v>High Volatility</v>
      </c>
      <c r="L535" s="4">
        <f>VALUE(A535)</f>
        <v>42167</v>
      </c>
    </row>
    <row r="536" spans="1:12">
      <c r="A536" s="5">
        <v>42170</v>
      </c>
      <c r="B536" s="3">
        <v>423.67001299999998</v>
      </c>
      <c r="C536" s="3">
        <v>106.739639</v>
      </c>
      <c r="D536" s="3">
        <v>249.820007</v>
      </c>
      <c r="E536" s="3">
        <v>93.431426999999999</v>
      </c>
      <c r="F536" s="3">
        <f t="shared" si="48"/>
        <v>2015</v>
      </c>
      <c r="G536" s="3" t="str">
        <f t="shared" si="49"/>
        <v>Jun</v>
      </c>
      <c r="H536" s="3" t="str">
        <f t="shared" si="50"/>
        <v>Q2</v>
      </c>
      <c r="I536" s="3">
        <f t="shared" si="51"/>
        <v>8.4735687913792459E-3</v>
      </c>
      <c r="J536" s="3">
        <f t="shared" si="52"/>
        <v>-9.7670399953194813E-3</v>
      </c>
      <c r="K536" s="3" t="str">
        <f t="shared" si="53"/>
        <v>Normal</v>
      </c>
      <c r="L536" s="4">
        <f>VALUE(A536)</f>
        <v>42170</v>
      </c>
    </row>
    <row r="537" spans="1:12">
      <c r="A537" s="5">
        <v>42171</v>
      </c>
      <c r="B537" s="3">
        <v>427.26001000000002</v>
      </c>
      <c r="C537" s="3">
        <v>106.69149</v>
      </c>
      <c r="D537" s="3">
        <v>247.38000500000001</v>
      </c>
      <c r="E537" s="3">
        <v>95.272857999999999</v>
      </c>
      <c r="F537" s="3">
        <f t="shared" si="48"/>
        <v>2015</v>
      </c>
      <c r="G537" s="3" t="str">
        <f t="shared" si="49"/>
        <v>Jun</v>
      </c>
      <c r="H537" s="3" t="str">
        <f t="shared" si="50"/>
        <v>Q2</v>
      </c>
      <c r="I537" s="3">
        <f t="shared" si="51"/>
        <v>1.2872442707661427E-3</v>
      </c>
      <c r="J537" s="3">
        <f t="shared" si="52"/>
        <v>4.2848935992218992E-3</v>
      </c>
      <c r="K537" s="3" t="str">
        <f t="shared" si="53"/>
        <v>Normal</v>
      </c>
      <c r="L537" s="4">
        <f>VALUE(A537)</f>
        <v>42171</v>
      </c>
    </row>
    <row r="538" spans="1:12">
      <c r="A538" s="5">
        <v>42172</v>
      </c>
      <c r="B538" s="3">
        <v>427.80999800000001</v>
      </c>
      <c r="C538" s="3">
        <v>106.845581</v>
      </c>
      <c r="D538" s="3">
        <v>248.44000199999999</v>
      </c>
      <c r="E538" s="3">
        <v>94.271431000000007</v>
      </c>
      <c r="F538" s="3">
        <f t="shared" si="48"/>
        <v>2015</v>
      </c>
      <c r="G538" s="3" t="str">
        <f t="shared" si="49"/>
        <v>Jun</v>
      </c>
      <c r="H538" s="3" t="str">
        <f t="shared" si="50"/>
        <v>Q2</v>
      </c>
      <c r="I538" s="3">
        <f t="shared" si="51"/>
        <v>2.706813083877483E-2</v>
      </c>
      <c r="J538" s="3">
        <f t="shared" si="52"/>
        <v>-1.7348240884332233E-2</v>
      </c>
      <c r="K538" s="3" t="str">
        <f t="shared" si="53"/>
        <v>Normal</v>
      </c>
      <c r="L538" s="4">
        <f>VALUE(A538)</f>
        <v>42172</v>
      </c>
    </row>
    <row r="539" spans="1:12">
      <c r="A539" s="5">
        <v>42173</v>
      </c>
      <c r="B539" s="3">
        <v>439.39001500000001</v>
      </c>
      <c r="C539" s="3">
        <v>108.43499</v>
      </c>
      <c r="D539" s="3">
        <v>244.13000500000001</v>
      </c>
      <c r="E539" s="3">
        <v>94.742858999999996</v>
      </c>
      <c r="F539" s="3">
        <f t="shared" si="48"/>
        <v>2015</v>
      </c>
      <c r="G539" s="3" t="str">
        <f t="shared" si="49"/>
        <v>Jun</v>
      </c>
      <c r="H539" s="3" t="str">
        <f t="shared" si="50"/>
        <v>Q2</v>
      </c>
      <c r="I539" s="3">
        <f t="shared" si="51"/>
        <v>-1.0173198860697875E-2</v>
      </c>
      <c r="J539" s="3">
        <f t="shared" si="52"/>
        <v>3.4817145889133481E-3</v>
      </c>
      <c r="K539" s="3" t="str">
        <f t="shared" si="53"/>
        <v>Normal</v>
      </c>
      <c r="L539" s="4">
        <f>VALUE(A539)</f>
        <v>42173</v>
      </c>
    </row>
    <row r="540" spans="1:12">
      <c r="A540" s="5">
        <v>42174</v>
      </c>
      <c r="B540" s="3">
        <v>434.92001299999998</v>
      </c>
      <c r="C540" s="3">
        <v>107.79924800000001</v>
      </c>
      <c r="D540" s="3">
        <v>244.979996</v>
      </c>
      <c r="E540" s="3">
        <v>93.871429000000006</v>
      </c>
      <c r="F540" s="3">
        <f t="shared" si="48"/>
        <v>2015</v>
      </c>
      <c r="G540" s="3" t="str">
        <f t="shared" si="49"/>
        <v>Jun</v>
      </c>
      <c r="H540" s="3" t="str">
        <f t="shared" si="50"/>
        <v>Q2</v>
      </c>
      <c r="I540" s="3">
        <f t="shared" si="51"/>
        <v>3.1499953072980681E-3</v>
      </c>
      <c r="J540" s="3">
        <f t="shared" si="52"/>
        <v>-4.9800025304923114E-3</v>
      </c>
      <c r="K540" s="3" t="str">
        <f t="shared" si="53"/>
        <v>Normal</v>
      </c>
      <c r="L540" s="4">
        <f>VALUE(A540)</f>
        <v>42174</v>
      </c>
    </row>
    <row r="541" spans="1:12">
      <c r="A541" s="5">
        <v>42177</v>
      </c>
      <c r="B541" s="3">
        <v>436.290009</v>
      </c>
      <c r="C541" s="3">
        <v>109.67759700000001</v>
      </c>
      <c r="D541" s="3">
        <v>243.759995</v>
      </c>
      <c r="E541" s="3">
        <v>96.414283999999995</v>
      </c>
      <c r="F541" s="3">
        <f t="shared" si="48"/>
        <v>2015</v>
      </c>
      <c r="G541" s="3" t="str">
        <f t="shared" si="49"/>
        <v>Jun</v>
      </c>
      <c r="H541" s="3" t="str">
        <f t="shared" si="50"/>
        <v>Q2</v>
      </c>
      <c r="I541" s="3">
        <f t="shared" si="51"/>
        <v>2.223287446401272E-2</v>
      </c>
      <c r="J541" s="3">
        <f t="shared" si="52"/>
        <v>-1.3127654519356206E-2</v>
      </c>
      <c r="K541" s="3" t="str">
        <f t="shared" si="53"/>
        <v>Normal</v>
      </c>
      <c r="L541" s="4">
        <f>VALUE(A541)</f>
        <v>42177</v>
      </c>
    </row>
    <row r="542" spans="1:12">
      <c r="A542" s="5">
        <v>42178</v>
      </c>
      <c r="B542" s="3">
        <v>445.98998999999998</v>
      </c>
      <c r="C542" s="3">
        <v>109.44641900000001</v>
      </c>
      <c r="D542" s="3">
        <v>240.55999800000001</v>
      </c>
      <c r="E542" s="3">
        <v>97.312859000000003</v>
      </c>
      <c r="F542" s="3">
        <f t="shared" si="48"/>
        <v>2015</v>
      </c>
      <c r="G542" s="3" t="str">
        <f t="shared" si="49"/>
        <v>Jun</v>
      </c>
      <c r="H542" s="3" t="str">
        <f t="shared" si="50"/>
        <v>Q2</v>
      </c>
      <c r="I542" s="3">
        <f t="shared" si="51"/>
        <v>-1.1547330916552618E-2</v>
      </c>
      <c r="J542" s="3">
        <f t="shared" si="52"/>
        <v>8.3139342227630045E-3</v>
      </c>
      <c r="K542" s="3" t="str">
        <f t="shared" si="53"/>
        <v>Normal</v>
      </c>
      <c r="L542" s="4">
        <f>VALUE(A542)</f>
        <v>42178</v>
      </c>
    </row>
    <row r="543" spans="1:12">
      <c r="A543" s="5">
        <v>42179</v>
      </c>
      <c r="B543" s="3">
        <v>440.83999599999999</v>
      </c>
      <c r="C543" s="3">
        <v>107.53913900000001</v>
      </c>
      <c r="D543" s="3">
        <v>242.55999800000001</v>
      </c>
      <c r="E543" s="3">
        <v>96.944282999999999</v>
      </c>
      <c r="F543" s="3">
        <f t="shared" si="48"/>
        <v>2015</v>
      </c>
      <c r="G543" s="3" t="str">
        <f t="shared" si="49"/>
        <v>Jun</v>
      </c>
      <c r="H543" s="3" t="str">
        <f t="shared" si="50"/>
        <v>Q2</v>
      </c>
      <c r="I543" s="3">
        <f t="shared" si="51"/>
        <v>-1.6785908872024794E-3</v>
      </c>
      <c r="J543" s="3">
        <f t="shared" si="52"/>
        <v>1.6078454947875984E-3</v>
      </c>
      <c r="K543" s="3" t="str">
        <f t="shared" si="53"/>
        <v>Normal</v>
      </c>
      <c r="L543" s="4">
        <f>VALUE(A543)</f>
        <v>42179</v>
      </c>
    </row>
    <row r="544" spans="1:12">
      <c r="A544" s="5">
        <v>42180</v>
      </c>
      <c r="B544" s="3">
        <v>440.10000600000001</v>
      </c>
      <c r="C544" s="3">
        <v>107.616219</v>
      </c>
      <c r="D544" s="3">
        <v>242.949997</v>
      </c>
      <c r="E544" s="3">
        <v>94.891425999999996</v>
      </c>
      <c r="F544" s="3">
        <f t="shared" si="48"/>
        <v>2015</v>
      </c>
      <c r="G544" s="3" t="str">
        <f t="shared" si="49"/>
        <v>Jun</v>
      </c>
      <c r="H544" s="3" t="str">
        <f t="shared" si="50"/>
        <v>Q2</v>
      </c>
      <c r="I544" s="3">
        <f t="shared" si="51"/>
        <v>-4.544421660380527E-3</v>
      </c>
      <c r="J544" s="3">
        <f t="shared" si="52"/>
        <v>3.2023046289644544E-2</v>
      </c>
      <c r="K544" s="3" t="str">
        <f t="shared" si="53"/>
        <v>Normal</v>
      </c>
      <c r="L544" s="4">
        <f>VALUE(A544)</f>
        <v>42180</v>
      </c>
    </row>
    <row r="545" spans="1:12">
      <c r="A545" s="5">
        <v>42181</v>
      </c>
      <c r="B545" s="3">
        <v>438.10000600000001</v>
      </c>
      <c r="C545" s="3">
        <v>110.679413</v>
      </c>
      <c r="D545" s="3">
        <v>250.729996</v>
      </c>
      <c r="E545" s="3">
        <v>93.088570000000004</v>
      </c>
      <c r="F545" s="3">
        <f t="shared" si="48"/>
        <v>2015</v>
      </c>
      <c r="G545" s="3" t="str">
        <f t="shared" si="49"/>
        <v>Jun</v>
      </c>
      <c r="H545" s="3" t="str">
        <f t="shared" si="50"/>
        <v>Q2</v>
      </c>
      <c r="I545" s="3">
        <f t="shared" si="51"/>
        <v>-1.8808538888721249E-2</v>
      </c>
      <c r="J545" s="3">
        <f t="shared" si="52"/>
        <v>5.3404057008001618E-2</v>
      </c>
      <c r="K545" s="3" t="str">
        <f t="shared" si="53"/>
        <v>High Volatility</v>
      </c>
      <c r="L545" s="4">
        <f>VALUE(A545)</f>
        <v>42181</v>
      </c>
    </row>
    <row r="546" spans="1:12">
      <c r="A546" s="5">
        <v>42184</v>
      </c>
      <c r="B546" s="3">
        <v>429.85998499999999</v>
      </c>
      <c r="C546" s="3">
        <v>109.81246899999999</v>
      </c>
      <c r="D546" s="3">
        <v>264.11999500000002</v>
      </c>
      <c r="E546" s="3">
        <v>92.231430000000003</v>
      </c>
      <c r="F546" s="3">
        <f t="shared" si="48"/>
        <v>2015</v>
      </c>
      <c r="G546" s="3" t="str">
        <f t="shared" si="49"/>
        <v>Jun</v>
      </c>
      <c r="H546" s="3" t="str">
        <f t="shared" si="50"/>
        <v>Q2</v>
      </c>
      <c r="I546" s="3">
        <f t="shared" si="51"/>
        <v>9.840439090882093E-3</v>
      </c>
      <c r="J546" s="3">
        <f t="shared" si="52"/>
        <v>-2.46100262117603E-2</v>
      </c>
      <c r="K546" s="3" t="str">
        <f t="shared" si="53"/>
        <v>Normal</v>
      </c>
      <c r="L546" s="4">
        <f>VALUE(A546)</f>
        <v>42184</v>
      </c>
    </row>
    <row r="547" spans="1:12">
      <c r="A547" s="5">
        <v>42185</v>
      </c>
      <c r="B547" s="3">
        <v>434.08999599999999</v>
      </c>
      <c r="C547" s="3">
        <v>109.234497</v>
      </c>
      <c r="D547" s="3">
        <v>257.61999500000002</v>
      </c>
      <c r="E547" s="3">
        <v>93.848572000000004</v>
      </c>
      <c r="F547" s="3">
        <f t="shared" si="48"/>
        <v>2015</v>
      </c>
      <c r="G547" s="3" t="str">
        <f t="shared" si="49"/>
        <v>Jun</v>
      </c>
      <c r="H547" s="3" t="str">
        <f t="shared" si="50"/>
        <v>Q2</v>
      </c>
      <c r="I547" s="3">
        <f t="shared" si="51"/>
        <v>7.6021540012638769E-3</v>
      </c>
      <c r="J547" s="3">
        <f t="shared" si="52"/>
        <v>-1.0635781589856818E-2</v>
      </c>
      <c r="K547" s="3" t="str">
        <f t="shared" si="53"/>
        <v>Normal</v>
      </c>
      <c r="L547" s="4">
        <f>VALUE(A547)</f>
        <v>42185</v>
      </c>
    </row>
    <row r="548" spans="1:12">
      <c r="A548" s="5">
        <v>42186</v>
      </c>
      <c r="B548" s="3">
        <v>437.39001500000001</v>
      </c>
      <c r="C548" s="3">
        <v>110.34227799999999</v>
      </c>
      <c r="D548" s="3">
        <v>254.88000500000001</v>
      </c>
      <c r="E548" s="3">
        <v>93.635711999999998</v>
      </c>
      <c r="F548" s="3">
        <f t="shared" si="48"/>
        <v>2015</v>
      </c>
      <c r="G548" s="3" t="str">
        <f t="shared" si="49"/>
        <v>Jul</v>
      </c>
      <c r="H548" s="3" t="str">
        <f t="shared" si="50"/>
        <v>Q3</v>
      </c>
      <c r="I548" s="3">
        <f t="shared" si="51"/>
        <v>7.3155762369197413E-4</v>
      </c>
      <c r="J548" s="3">
        <f t="shared" si="52"/>
        <v>2.0401325714034771E-3</v>
      </c>
      <c r="K548" s="3" t="str">
        <f t="shared" si="53"/>
        <v>Normal</v>
      </c>
      <c r="L548" s="4">
        <f>VALUE(A548)</f>
        <v>42186</v>
      </c>
    </row>
    <row r="549" spans="1:12">
      <c r="A549" s="5">
        <v>42187</v>
      </c>
      <c r="B549" s="3">
        <v>437.709991</v>
      </c>
      <c r="C549" s="3">
        <v>109.696877</v>
      </c>
      <c r="D549" s="3">
        <v>255.39999399999999</v>
      </c>
      <c r="E549" s="3">
        <v>94.044289000000006</v>
      </c>
      <c r="F549" s="3">
        <f t="shared" si="48"/>
        <v>2015</v>
      </c>
      <c r="G549" s="3" t="str">
        <f t="shared" si="49"/>
        <v>Jul</v>
      </c>
      <c r="H549" s="3" t="str">
        <f t="shared" si="50"/>
        <v>Q3</v>
      </c>
      <c r="I549" s="3">
        <f t="shared" si="51"/>
        <v>-3.8152704629490727E-3</v>
      </c>
      <c r="J549" s="3">
        <f t="shared" si="52"/>
        <v>4.2325752756282406E-2</v>
      </c>
      <c r="K549" s="3" t="str">
        <f t="shared" si="53"/>
        <v>Normal</v>
      </c>
      <c r="L549" s="4">
        <f>VALUE(A549)</f>
        <v>42187</v>
      </c>
    </row>
    <row r="550" spans="1:12">
      <c r="A550" s="5">
        <v>42191</v>
      </c>
      <c r="B550" s="3">
        <v>436.040009</v>
      </c>
      <c r="C550" s="3">
        <v>108.974403</v>
      </c>
      <c r="D550" s="3">
        <v>266.209991</v>
      </c>
      <c r="E550" s="3">
        <v>94.571426000000002</v>
      </c>
      <c r="F550" s="3">
        <f t="shared" si="48"/>
        <v>2015</v>
      </c>
      <c r="G550" s="3" t="str">
        <f t="shared" si="49"/>
        <v>Jul</v>
      </c>
      <c r="H550" s="3" t="str">
        <f t="shared" si="50"/>
        <v>Q3</v>
      </c>
      <c r="I550" s="3">
        <f t="shared" si="51"/>
        <v>1.5594715759214357E-3</v>
      </c>
      <c r="J550" s="3">
        <f t="shared" si="52"/>
        <v>9.1282223889185398E-3</v>
      </c>
      <c r="K550" s="3" t="str">
        <f t="shared" si="53"/>
        <v>Normal</v>
      </c>
      <c r="L550" s="4">
        <f>VALUE(A550)</f>
        <v>42191</v>
      </c>
    </row>
    <row r="551" spans="1:12">
      <c r="A551" s="5">
        <v>42192</v>
      </c>
      <c r="B551" s="3">
        <v>436.72000100000002</v>
      </c>
      <c r="C551" s="3">
        <v>109.253754</v>
      </c>
      <c r="D551" s="3">
        <v>268.64001500000001</v>
      </c>
      <c r="E551" s="3">
        <v>94.091431</v>
      </c>
      <c r="F551" s="3">
        <f t="shared" si="48"/>
        <v>2015</v>
      </c>
      <c r="G551" s="3" t="str">
        <f t="shared" si="49"/>
        <v>Jul</v>
      </c>
      <c r="H551" s="3" t="str">
        <f t="shared" si="50"/>
        <v>Q3</v>
      </c>
      <c r="I551" s="3">
        <f t="shared" si="51"/>
        <v>-1.6074347371143209E-2</v>
      </c>
      <c r="J551" s="3">
        <f t="shared" si="52"/>
        <v>1.8612268168612185E-3</v>
      </c>
      <c r="K551" s="3" t="str">
        <f t="shared" si="53"/>
        <v>Normal</v>
      </c>
      <c r="L551" s="4">
        <f>VALUE(A551)</f>
        <v>42192</v>
      </c>
    </row>
    <row r="552" spans="1:12">
      <c r="A552" s="5">
        <v>42193</v>
      </c>
      <c r="B552" s="3">
        <v>429.70001200000002</v>
      </c>
      <c r="C552" s="3">
        <v>109.08039100000001</v>
      </c>
      <c r="D552" s="3">
        <v>269.14001500000001</v>
      </c>
      <c r="E552" s="3">
        <v>93.507141000000004</v>
      </c>
      <c r="F552" s="3">
        <f t="shared" si="48"/>
        <v>2015</v>
      </c>
      <c r="G552" s="3" t="str">
        <f t="shared" si="49"/>
        <v>Jul</v>
      </c>
      <c r="H552" s="3" t="str">
        <f t="shared" si="50"/>
        <v>Q3</v>
      </c>
      <c r="I552" s="3">
        <f t="shared" si="51"/>
        <v>1.0914598252326765E-2</v>
      </c>
      <c r="J552" s="3">
        <f t="shared" si="52"/>
        <v>5.3800918455027998E-2</v>
      </c>
      <c r="K552" s="3" t="str">
        <f t="shared" si="53"/>
        <v>High Volatility</v>
      </c>
      <c r="L552" s="4">
        <f>VALUE(A552)</f>
        <v>42193</v>
      </c>
    </row>
    <row r="553" spans="1:12">
      <c r="A553" s="5">
        <v>42194</v>
      </c>
      <c r="B553" s="3">
        <v>434.39001500000001</v>
      </c>
      <c r="C553" s="3">
        <v>109.51385500000001</v>
      </c>
      <c r="D553" s="3">
        <v>283.61999500000002</v>
      </c>
      <c r="E553" s="3">
        <v>95.727142000000001</v>
      </c>
      <c r="F553" s="3">
        <f t="shared" si="48"/>
        <v>2015</v>
      </c>
      <c r="G553" s="3" t="str">
        <f t="shared" si="49"/>
        <v>Jul</v>
      </c>
      <c r="H553" s="3" t="str">
        <f t="shared" si="50"/>
        <v>Q3</v>
      </c>
      <c r="I553" s="3">
        <f t="shared" si="51"/>
        <v>2.0994946212103925E-2</v>
      </c>
      <c r="J553" s="3">
        <f t="shared" si="52"/>
        <v>2.9440822745942178E-2</v>
      </c>
      <c r="K553" s="3" t="str">
        <f t="shared" si="53"/>
        <v>Normal</v>
      </c>
      <c r="L553" s="4">
        <f>VALUE(A553)</f>
        <v>42194</v>
      </c>
    </row>
    <row r="554" spans="1:12">
      <c r="A554" s="5">
        <v>42195</v>
      </c>
      <c r="B554" s="3">
        <v>443.51001000000002</v>
      </c>
      <c r="C554" s="3">
        <v>111.661919</v>
      </c>
      <c r="D554" s="3">
        <v>291.97000100000002</v>
      </c>
      <c r="E554" s="3">
        <v>97.228568999999993</v>
      </c>
      <c r="F554" s="3">
        <f t="shared" si="48"/>
        <v>2015</v>
      </c>
      <c r="G554" s="3" t="str">
        <f t="shared" si="49"/>
        <v>Jul</v>
      </c>
      <c r="H554" s="3" t="str">
        <f t="shared" si="50"/>
        <v>Q3</v>
      </c>
      <c r="I554" s="3">
        <f t="shared" si="51"/>
        <v>2.7192164163329601E-2</v>
      </c>
      <c r="J554" s="3">
        <f t="shared" si="52"/>
        <v>-1.7159331379390658E-2</v>
      </c>
      <c r="K554" s="3" t="str">
        <f t="shared" si="53"/>
        <v>Normal</v>
      </c>
      <c r="L554" s="4">
        <f>VALUE(A554)</f>
        <v>42195</v>
      </c>
    </row>
    <row r="555" spans="1:12">
      <c r="A555" s="5">
        <v>42198</v>
      </c>
      <c r="B555" s="3">
        <v>455.57000699999998</v>
      </c>
      <c r="C555" s="3">
        <v>115.043015</v>
      </c>
      <c r="D555" s="3">
        <v>286.959991</v>
      </c>
      <c r="E555" s="3">
        <v>101.087143</v>
      </c>
      <c r="F555" s="3">
        <f t="shared" si="48"/>
        <v>2015</v>
      </c>
      <c r="G555" s="3" t="str">
        <f t="shared" si="49"/>
        <v>Jul</v>
      </c>
      <c r="H555" s="3" t="str">
        <f t="shared" si="50"/>
        <v>Q3</v>
      </c>
      <c r="I555" s="3">
        <f t="shared" si="51"/>
        <v>2.1950523182708119E-2</v>
      </c>
      <c r="J555" s="3">
        <f t="shared" si="52"/>
        <v>-1.2336137827659811E-2</v>
      </c>
      <c r="K555" s="3" t="str">
        <f t="shared" si="53"/>
        <v>Normal</v>
      </c>
      <c r="L555" s="4">
        <f>VALUE(A555)</f>
        <v>42198</v>
      </c>
    </row>
    <row r="556" spans="1:12">
      <c r="A556" s="5">
        <v>42199</v>
      </c>
      <c r="B556" s="3">
        <v>465.57000699999998</v>
      </c>
      <c r="C556" s="3">
        <v>114.426514</v>
      </c>
      <c r="D556" s="3">
        <v>283.42001299999998</v>
      </c>
      <c r="E556" s="3">
        <v>100.37142900000001</v>
      </c>
      <c r="F556" s="3">
        <f t="shared" si="48"/>
        <v>2015</v>
      </c>
      <c r="G556" s="3" t="str">
        <f t="shared" si="49"/>
        <v>Jul</v>
      </c>
      <c r="H556" s="3" t="str">
        <f t="shared" si="50"/>
        <v>Q3</v>
      </c>
      <c r="I556" s="3">
        <f t="shared" si="51"/>
        <v>-9.4078332670600555E-3</v>
      </c>
      <c r="J556" s="3">
        <f t="shared" si="52"/>
        <v>-2.4098569919972442E-2</v>
      </c>
      <c r="K556" s="3" t="str">
        <f t="shared" si="53"/>
        <v>Normal</v>
      </c>
      <c r="L556" s="4">
        <f>VALUE(A556)</f>
        <v>42199</v>
      </c>
    </row>
    <row r="557" spans="1:12">
      <c r="A557" s="5">
        <v>42200</v>
      </c>
      <c r="B557" s="3">
        <v>461.19000199999999</v>
      </c>
      <c r="C557" s="3">
        <v>114.18570699999999</v>
      </c>
      <c r="D557" s="3">
        <v>276.58999599999999</v>
      </c>
      <c r="E557" s="3">
        <v>98.129997000000003</v>
      </c>
      <c r="F557" s="3">
        <f t="shared" si="48"/>
        <v>2015</v>
      </c>
      <c r="G557" s="3" t="str">
        <f t="shared" si="49"/>
        <v>Jul</v>
      </c>
      <c r="H557" s="3" t="str">
        <f t="shared" si="50"/>
        <v>Q3</v>
      </c>
      <c r="I557" s="3">
        <f t="shared" si="51"/>
        <v>3.0985079767622537E-2</v>
      </c>
      <c r="J557" s="3">
        <f t="shared" si="52"/>
        <v>1.0954839451243321E-2</v>
      </c>
      <c r="K557" s="3" t="str">
        <f t="shared" si="53"/>
        <v>Normal</v>
      </c>
      <c r="L557" s="4">
        <f>VALUE(A557)</f>
        <v>42200</v>
      </c>
    </row>
    <row r="558" spans="1:12">
      <c r="A558" s="5">
        <v>42201</v>
      </c>
      <c r="B558" s="3">
        <v>475.48001099999999</v>
      </c>
      <c r="C558" s="3">
        <v>111.324799</v>
      </c>
      <c r="D558" s="3">
        <v>279.61999500000002</v>
      </c>
      <c r="E558" s="3">
        <v>115.80999799999999</v>
      </c>
      <c r="F558" s="3">
        <f t="shared" si="48"/>
        <v>2015</v>
      </c>
      <c r="G558" s="3" t="str">
        <f t="shared" si="49"/>
        <v>Jul</v>
      </c>
      <c r="H558" s="3" t="str">
        <f t="shared" si="50"/>
        <v>Q3</v>
      </c>
      <c r="I558" s="3">
        <f t="shared" si="51"/>
        <v>1.5836625779837531E-2</v>
      </c>
      <c r="J558" s="3">
        <f t="shared" si="52"/>
        <v>-1.9919916671195248E-2</v>
      </c>
      <c r="K558" s="3" t="str">
        <f t="shared" si="53"/>
        <v>Normal</v>
      </c>
      <c r="L558" s="4">
        <f>VALUE(A558)</f>
        <v>42201</v>
      </c>
    </row>
    <row r="559" spans="1:12">
      <c r="A559" s="5">
        <v>42202</v>
      </c>
      <c r="B559" s="3">
        <v>483.01001000000002</v>
      </c>
      <c r="C559" s="3">
        <v>105.997917</v>
      </c>
      <c r="D559" s="3">
        <v>274.04998799999998</v>
      </c>
      <c r="E559" s="3">
        <v>114.769997</v>
      </c>
      <c r="F559" s="3">
        <f t="shared" si="48"/>
        <v>2015</v>
      </c>
      <c r="G559" s="3" t="str">
        <f t="shared" si="49"/>
        <v>Jul</v>
      </c>
      <c r="H559" s="3" t="str">
        <f t="shared" si="50"/>
        <v>Q3</v>
      </c>
      <c r="I559" s="3">
        <f t="shared" si="51"/>
        <v>1.0538075598060555E-2</v>
      </c>
      <c r="J559" s="3">
        <f t="shared" si="52"/>
        <v>3.794957290784484E-3</v>
      </c>
      <c r="K559" s="3" t="str">
        <f t="shared" si="53"/>
        <v>Normal</v>
      </c>
      <c r="L559" s="4">
        <f>VALUE(A559)</f>
        <v>42202</v>
      </c>
    </row>
    <row r="560" spans="1:12">
      <c r="A560" s="5">
        <v>42205</v>
      </c>
      <c r="B560" s="3">
        <v>488.10000600000001</v>
      </c>
      <c r="C560" s="3">
        <v>106.96120500000001</v>
      </c>
      <c r="D560" s="3">
        <v>275.08999599999999</v>
      </c>
      <c r="E560" s="3">
        <v>110.550003</v>
      </c>
      <c r="F560" s="3">
        <f t="shared" si="48"/>
        <v>2015</v>
      </c>
      <c r="G560" s="3" t="str">
        <f t="shared" si="49"/>
        <v>Jul</v>
      </c>
      <c r="H560" s="3" t="str">
        <f t="shared" si="50"/>
        <v>Q3</v>
      </c>
      <c r="I560" s="3">
        <f t="shared" si="51"/>
        <v>-2.048883400341683E-4</v>
      </c>
      <c r="J560" s="3">
        <f t="shared" si="52"/>
        <v>4.9801701985557386E-3</v>
      </c>
      <c r="K560" s="3" t="str">
        <f t="shared" si="53"/>
        <v>Normal</v>
      </c>
      <c r="L560" s="4">
        <f>VALUE(A560)</f>
        <v>42205</v>
      </c>
    </row>
    <row r="561" spans="1:12">
      <c r="A561" s="5">
        <v>42206</v>
      </c>
      <c r="B561" s="3">
        <v>488</v>
      </c>
      <c r="C561" s="3">
        <v>107.279076</v>
      </c>
      <c r="D561" s="3">
        <v>276.459991</v>
      </c>
      <c r="E561" s="3">
        <v>112.510002</v>
      </c>
      <c r="F561" s="3">
        <f t="shared" si="48"/>
        <v>2015</v>
      </c>
      <c r="G561" s="3" t="str">
        <f t="shared" si="49"/>
        <v>Jul</v>
      </c>
      <c r="H561" s="3" t="str">
        <f t="shared" si="50"/>
        <v>Q3</v>
      </c>
      <c r="I561" s="3">
        <f t="shared" si="51"/>
        <v>5.5325614754100319E-4</v>
      </c>
      <c r="J561" s="3">
        <f t="shared" si="52"/>
        <v>-3.4001375627621742E-3</v>
      </c>
      <c r="K561" s="3" t="str">
        <f t="shared" si="53"/>
        <v>Normal</v>
      </c>
      <c r="L561" s="4">
        <f>VALUE(A561)</f>
        <v>42206</v>
      </c>
    </row>
    <row r="562" spans="1:12">
      <c r="A562" s="5">
        <v>42207</v>
      </c>
      <c r="B562" s="3">
        <v>488.26998900000001</v>
      </c>
      <c r="C562" s="3">
        <v>108.18454699999999</v>
      </c>
      <c r="D562" s="3">
        <v>275.51998900000001</v>
      </c>
      <c r="E562" s="3">
        <v>111.5</v>
      </c>
      <c r="F562" s="3">
        <f t="shared" si="48"/>
        <v>2015</v>
      </c>
      <c r="G562" s="3" t="str">
        <f t="shared" si="49"/>
        <v>Jul</v>
      </c>
      <c r="H562" s="3" t="str">
        <f t="shared" si="50"/>
        <v>Q3</v>
      </c>
      <c r="I562" s="3">
        <f t="shared" si="51"/>
        <v>-1.2472599457674195E-2</v>
      </c>
      <c r="J562" s="3">
        <f t="shared" si="52"/>
        <v>4.6639106101299996E-2</v>
      </c>
      <c r="K562" s="3" t="str">
        <f t="shared" si="53"/>
        <v>Normal</v>
      </c>
      <c r="L562" s="4">
        <f>VALUE(A562)</f>
        <v>42207</v>
      </c>
    </row>
    <row r="563" spans="1:12">
      <c r="A563" s="5">
        <v>42208</v>
      </c>
      <c r="B563" s="3">
        <v>482.17999300000002</v>
      </c>
      <c r="C563" s="3">
        <v>107.54879</v>
      </c>
      <c r="D563" s="3">
        <v>288.36999500000002</v>
      </c>
      <c r="E563" s="3">
        <v>110.099998</v>
      </c>
      <c r="F563" s="3">
        <f t="shared" si="48"/>
        <v>2015</v>
      </c>
      <c r="G563" s="3" t="str">
        <f t="shared" si="49"/>
        <v>Jul</v>
      </c>
      <c r="H563" s="3" t="str">
        <f t="shared" si="50"/>
        <v>Q3</v>
      </c>
      <c r="I563" s="3">
        <f t="shared" si="51"/>
        <v>9.7971692492019216E-2</v>
      </c>
      <c r="J563" s="3">
        <f t="shared" si="52"/>
        <v>1.2830565121727047E-3</v>
      </c>
      <c r="K563" s="3" t="str">
        <f t="shared" si="53"/>
        <v>Normal</v>
      </c>
      <c r="L563" s="4">
        <f>VALUE(A563)</f>
        <v>42208</v>
      </c>
    </row>
    <row r="564" spans="1:12">
      <c r="A564" s="5">
        <v>42209</v>
      </c>
      <c r="B564" s="3">
        <v>529.419983</v>
      </c>
      <c r="C564" s="3">
        <v>106.88414</v>
      </c>
      <c r="D564" s="3">
        <v>288.73998999999998</v>
      </c>
      <c r="E564" s="3">
        <v>109.339996</v>
      </c>
      <c r="F564" s="3">
        <f t="shared" si="48"/>
        <v>2015</v>
      </c>
      <c r="G564" s="3" t="str">
        <f t="shared" si="49"/>
        <v>Jul</v>
      </c>
      <c r="H564" s="3" t="str">
        <f t="shared" si="50"/>
        <v>Q3</v>
      </c>
      <c r="I564" s="3">
        <f t="shared" si="51"/>
        <v>3.7588116502962343E-3</v>
      </c>
      <c r="J564" s="3">
        <f t="shared" si="52"/>
        <v>1.7178160877542589E-2</v>
      </c>
      <c r="K564" s="3" t="str">
        <f t="shared" si="53"/>
        <v>Normal</v>
      </c>
      <c r="L564" s="4">
        <f>VALUE(A564)</f>
        <v>42209</v>
      </c>
    </row>
    <row r="565" spans="1:12">
      <c r="A565" s="5">
        <v>42212</v>
      </c>
      <c r="B565" s="3">
        <v>531.40997300000004</v>
      </c>
      <c r="C565" s="3">
        <v>107.22127500000001</v>
      </c>
      <c r="D565" s="3">
        <v>293.70001200000002</v>
      </c>
      <c r="E565" s="3">
        <v>106.43</v>
      </c>
      <c r="F565" s="3">
        <f t="shared" si="48"/>
        <v>2015</v>
      </c>
      <c r="G565" s="3" t="str">
        <f t="shared" si="49"/>
        <v>Jul</v>
      </c>
      <c r="H565" s="3" t="str">
        <f t="shared" si="50"/>
        <v>Q3</v>
      </c>
      <c r="I565" s="3">
        <f t="shared" si="51"/>
        <v>-1.0123904844367726E-2</v>
      </c>
      <c r="J565" s="3">
        <f t="shared" si="52"/>
        <v>-1.8147826973871548E-2</v>
      </c>
      <c r="K565" s="3" t="str">
        <f t="shared" si="53"/>
        <v>Normal</v>
      </c>
      <c r="L565" s="4">
        <f>VALUE(A565)</f>
        <v>42212</v>
      </c>
    </row>
    <row r="566" spans="1:12">
      <c r="A566" s="5">
        <v>42213</v>
      </c>
      <c r="B566" s="3">
        <v>526.03002900000001</v>
      </c>
      <c r="C566" s="3">
        <v>107.66437500000001</v>
      </c>
      <c r="D566" s="3">
        <v>288.36999500000002</v>
      </c>
      <c r="E566" s="3">
        <v>106.900002</v>
      </c>
      <c r="F566" s="3">
        <f t="shared" si="48"/>
        <v>2015</v>
      </c>
      <c r="G566" s="3" t="str">
        <f t="shared" si="49"/>
        <v>Jul</v>
      </c>
      <c r="H566" s="3" t="str">
        <f t="shared" si="50"/>
        <v>Q3</v>
      </c>
      <c r="I566" s="3">
        <f t="shared" si="51"/>
        <v>5.6460103725370905E-3</v>
      </c>
      <c r="J566" s="3">
        <f t="shared" si="52"/>
        <v>-4.681506479202205E-3</v>
      </c>
      <c r="K566" s="3" t="str">
        <f t="shared" si="53"/>
        <v>Normal</v>
      </c>
      <c r="L566" s="4">
        <f>VALUE(A566)</f>
        <v>42213</v>
      </c>
    </row>
    <row r="567" spans="1:12">
      <c r="A567" s="5">
        <v>42214</v>
      </c>
      <c r="B567" s="3">
        <v>529</v>
      </c>
      <c r="C567" s="3">
        <v>109.34045399999999</v>
      </c>
      <c r="D567" s="3">
        <v>287.01998900000001</v>
      </c>
      <c r="E567" s="3">
        <v>107.08000199999999</v>
      </c>
      <c r="F567" s="3">
        <f t="shared" si="48"/>
        <v>2015</v>
      </c>
      <c r="G567" s="3" t="str">
        <f t="shared" si="49"/>
        <v>Jul</v>
      </c>
      <c r="H567" s="3" t="str">
        <f t="shared" si="50"/>
        <v>Q3</v>
      </c>
      <c r="I567" s="3">
        <f t="shared" si="51"/>
        <v>1.4669206049149274E-2</v>
      </c>
      <c r="J567" s="3">
        <f t="shared" si="52"/>
        <v>-1.1462539635175092E-2</v>
      </c>
      <c r="K567" s="3" t="str">
        <f t="shared" si="53"/>
        <v>Normal</v>
      </c>
      <c r="L567" s="4">
        <f>VALUE(A567)</f>
        <v>42214</v>
      </c>
    </row>
    <row r="568" spans="1:12">
      <c r="A568" s="5">
        <v>42215</v>
      </c>
      <c r="B568" s="3">
        <v>536.76000999999997</v>
      </c>
      <c r="C568" s="3">
        <v>109.658348</v>
      </c>
      <c r="D568" s="3">
        <v>283.73001099999999</v>
      </c>
      <c r="E568" s="3">
        <v>111.55999799999999</v>
      </c>
      <c r="F568" s="3">
        <f t="shared" si="48"/>
        <v>2015</v>
      </c>
      <c r="G568" s="3" t="str">
        <f t="shared" si="49"/>
        <v>Jul</v>
      </c>
      <c r="H568" s="3" t="str">
        <f t="shared" si="50"/>
        <v>Q3</v>
      </c>
      <c r="I568" s="3">
        <f t="shared" si="51"/>
        <v>-1.1364222159544548E-3</v>
      </c>
      <c r="J568" s="3">
        <f t="shared" si="52"/>
        <v>-1.1489831436971134E-2</v>
      </c>
      <c r="K568" s="3" t="str">
        <f t="shared" si="53"/>
        <v>Normal</v>
      </c>
      <c r="L568" s="4">
        <f>VALUE(A568)</f>
        <v>42215</v>
      </c>
    </row>
    <row r="569" spans="1:12">
      <c r="A569" s="5">
        <v>42216</v>
      </c>
      <c r="B569" s="3">
        <v>536.15002400000003</v>
      </c>
      <c r="C569" s="3">
        <v>109.658348</v>
      </c>
      <c r="D569" s="3">
        <v>280.47000100000002</v>
      </c>
      <c r="E569" s="3">
        <v>114.30999799999999</v>
      </c>
      <c r="F569" s="3">
        <f t="shared" si="48"/>
        <v>2015</v>
      </c>
      <c r="G569" s="3" t="str">
        <f t="shared" si="49"/>
        <v>Jul</v>
      </c>
      <c r="H569" s="3" t="str">
        <f t="shared" si="50"/>
        <v>Q3</v>
      </c>
      <c r="I569" s="3">
        <f t="shared" si="51"/>
        <v>-2.0889582203954486E-3</v>
      </c>
      <c r="J569" s="3">
        <f t="shared" si="52"/>
        <v>1.365560304611672E-2</v>
      </c>
      <c r="K569" s="3" t="str">
        <f t="shared" si="53"/>
        <v>Normal</v>
      </c>
      <c r="L569" s="4">
        <f>VALUE(A569)</f>
        <v>42216</v>
      </c>
    </row>
    <row r="570" spans="1:12">
      <c r="A570" s="5">
        <v>42219</v>
      </c>
      <c r="B570" s="3">
        <v>535.03002900000001</v>
      </c>
      <c r="C570" s="3">
        <v>110.072525</v>
      </c>
      <c r="D570" s="3">
        <v>284.29998799999998</v>
      </c>
      <c r="E570" s="3">
        <v>112.55999799999999</v>
      </c>
      <c r="F570" s="3">
        <f t="shared" si="48"/>
        <v>2015</v>
      </c>
      <c r="G570" s="3" t="str">
        <f t="shared" si="49"/>
        <v>Aug</v>
      </c>
      <c r="H570" s="3" t="str">
        <f t="shared" si="50"/>
        <v>Q3</v>
      </c>
      <c r="I570" s="3">
        <f t="shared" si="51"/>
        <v>-5.850148272705611E-3</v>
      </c>
      <c r="J570" s="3">
        <f t="shared" si="52"/>
        <v>-9.074875514943603E-3</v>
      </c>
      <c r="K570" s="3" t="str">
        <f t="shared" si="53"/>
        <v>Normal</v>
      </c>
      <c r="L570" s="4">
        <f>VALUE(A570)</f>
        <v>42219</v>
      </c>
    </row>
    <row r="571" spans="1:12">
      <c r="A571" s="5">
        <v>42220</v>
      </c>
      <c r="B571" s="3">
        <v>531.90002400000003</v>
      </c>
      <c r="C571" s="3">
        <v>110.997292</v>
      </c>
      <c r="D571" s="3">
        <v>281.72000100000002</v>
      </c>
      <c r="E571" s="3">
        <v>121.150002</v>
      </c>
      <c r="F571" s="3">
        <f t="shared" si="48"/>
        <v>2015</v>
      </c>
      <c r="G571" s="3" t="str">
        <f t="shared" si="49"/>
        <v>Aug</v>
      </c>
      <c r="H571" s="3" t="str">
        <f t="shared" si="50"/>
        <v>Q3</v>
      </c>
      <c r="I571" s="3">
        <f t="shared" si="51"/>
        <v>9.6070422437129557E-3</v>
      </c>
      <c r="J571" s="3">
        <f t="shared" si="52"/>
        <v>-1.3204603815119341E-2</v>
      </c>
      <c r="K571" s="3" t="str">
        <f t="shared" si="53"/>
        <v>Normal</v>
      </c>
      <c r="L571" s="4">
        <f>VALUE(A571)</f>
        <v>42220</v>
      </c>
    </row>
    <row r="572" spans="1:12">
      <c r="A572" s="5">
        <v>42221</v>
      </c>
      <c r="B572" s="3">
        <v>537.01000999999997</v>
      </c>
      <c r="C572" s="3">
        <v>110.197784</v>
      </c>
      <c r="D572" s="3">
        <v>278</v>
      </c>
      <c r="E572" s="3">
        <v>123.709999</v>
      </c>
      <c r="F572" s="3">
        <f t="shared" si="48"/>
        <v>2015</v>
      </c>
      <c r="G572" s="3" t="str">
        <f t="shared" si="49"/>
        <v>Aug</v>
      </c>
      <c r="H572" s="3" t="str">
        <f t="shared" si="50"/>
        <v>Q3</v>
      </c>
      <c r="I572" s="3">
        <f t="shared" si="51"/>
        <v>-1.4059305896364921E-2</v>
      </c>
      <c r="J572" s="3">
        <f t="shared" si="52"/>
        <v>-3.9562949640285853E-4</v>
      </c>
      <c r="K572" s="3" t="str">
        <f t="shared" si="53"/>
        <v>Normal</v>
      </c>
      <c r="L572" s="4">
        <f>VALUE(A572)</f>
        <v>42221</v>
      </c>
    </row>
    <row r="573" spans="1:12">
      <c r="A573" s="5">
        <v>42222</v>
      </c>
      <c r="B573" s="3">
        <v>529.46002199999998</v>
      </c>
      <c r="C573" s="3">
        <v>107.731804</v>
      </c>
      <c r="D573" s="3">
        <v>277.89001500000001</v>
      </c>
      <c r="E573" s="3">
        <v>126.449997</v>
      </c>
      <c r="F573" s="3">
        <f t="shared" si="48"/>
        <v>2015</v>
      </c>
      <c r="G573" s="3" t="str">
        <f t="shared" si="49"/>
        <v>Aug</v>
      </c>
      <c r="H573" s="3" t="str">
        <f t="shared" si="50"/>
        <v>Q3</v>
      </c>
      <c r="I573" s="3">
        <f t="shared" si="51"/>
        <v>-1.2918873410238259E-2</v>
      </c>
      <c r="J573" s="3">
        <f t="shared" si="52"/>
        <v>-6.9415984593760943E-2</v>
      </c>
      <c r="K573" s="3" t="str">
        <f t="shared" si="53"/>
        <v>High Volatility</v>
      </c>
      <c r="L573" s="4">
        <f>VALUE(A573)</f>
        <v>42222</v>
      </c>
    </row>
    <row r="574" spans="1:12">
      <c r="A574" s="5">
        <v>42223</v>
      </c>
      <c r="B574" s="3">
        <v>522.61999500000002</v>
      </c>
      <c r="C574" s="3">
        <v>109.263397</v>
      </c>
      <c r="D574" s="3">
        <v>258.60000600000001</v>
      </c>
      <c r="E574" s="3">
        <v>123.519997</v>
      </c>
      <c r="F574" s="3">
        <f t="shared" si="48"/>
        <v>2015</v>
      </c>
      <c r="G574" s="3" t="str">
        <f t="shared" si="49"/>
        <v>Aug</v>
      </c>
      <c r="H574" s="3" t="str">
        <f t="shared" si="50"/>
        <v>Q3</v>
      </c>
      <c r="I574" s="3">
        <f t="shared" si="51"/>
        <v>2.640551477560637E-3</v>
      </c>
      <c r="J574" s="3">
        <f t="shared" si="52"/>
        <v>4.0332531933506478E-2</v>
      </c>
      <c r="K574" s="3" t="str">
        <f t="shared" si="53"/>
        <v>Normal</v>
      </c>
      <c r="L574" s="4">
        <f>VALUE(A574)</f>
        <v>42223</v>
      </c>
    </row>
    <row r="575" spans="1:12">
      <c r="A575" s="5">
        <v>42226</v>
      </c>
      <c r="B575" s="3">
        <v>524</v>
      </c>
      <c r="C575" s="3">
        <v>108.98407</v>
      </c>
      <c r="D575" s="3">
        <v>269.02999899999998</v>
      </c>
      <c r="E575" s="3">
        <v>123.029999</v>
      </c>
      <c r="F575" s="3">
        <f t="shared" si="48"/>
        <v>2015</v>
      </c>
      <c r="G575" s="3" t="str">
        <f t="shared" si="49"/>
        <v>Aug</v>
      </c>
      <c r="H575" s="3" t="str">
        <f t="shared" si="50"/>
        <v>Q3</v>
      </c>
      <c r="I575" s="3">
        <f t="shared" si="51"/>
        <v>6.6030954198472913E-3</v>
      </c>
      <c r="J575" s="3">
        <f t="shared" si="52"/>
        <v>-5.0923503144344896E-3</v>
      </c>
      <c r="K575" s="3" t="str">
        <f t="shared" si="53"/>
        <v>Normal</v>
      </c>
      <c r="L575" s="4">
        <f>VALUE(A575)</f>
        <v>42226</v>
      </c>
    </row>
    <row r="576" spans="1:12">
      <c r="A576" s="5">
        <v>42227</v>
      </c>
      <c r="B576" s="3">
        <v>527.46002199999998</v>
      </c>
      <c r="C576" s="3">
        <v>109.321198</v>
      </c>
      <c r="D576" s="3">
        <v>267.66000400000001</v>
      </c>
      <c r="E576" s="3">
        <v>122.739998</v>
      </c>
      <c r="F576" s="3">
        <f t="shared" si="48"/>
        <v>2015</v>
      </c>
      <c r="G576" s="3" t="str">
        <f t="shared" si="49"/>
        <v>Aug</v>
      </c>
      <c r="H576" s="3" t="str">
        <f t="shared" si="50"/>
        <v>Q3</v>
      </c>
      <c r="I576" s="3">
        <f t="shared" si="51"/>
        <v>-2.9387042341570005E-3</v>
      </c>
      <c r="J576" s="3">
        <f t="shared" si="52"/>
        <v>-1.5766277878408841E-2</v>
      </c>
      <c r="K576" s="3" t="str">
        <f t="shared" si="53"/>
        <v>Normal</v>
      </c>
      <c r="L576" s="4">
        <f>VALUE(A576)</f>
        <v>42227</v>
      </c>
    </row>
    <row r="577" spans="1:12">
      <c r="A577" s="5">
        <v>42228</v>
      </c>
      <c r="B577" s="3">
        <v>525.90997300000004</v>
      </c>
      <c r="C577" s="3">
        <v>107.770348</v>
      </c>
      <c r="D577" s="3">
        <v>263.44000199999999</v>
      </c>
      <c r="E577" s="3">
        <v>120.510002</v>
      </c>
      <c r="F577" s="3">
        <f t="shared" si="48"/>
        <v>2015</v>
      </c>
      <c r="G577" s="3" t="str">
        <f t="shared" si="49"/>
        <v>Aug</v>
      </c>
      <c r="H577" s="3" t="str">
        <f t="shared" si="50"/>
        <v>Q3</v>
      </c>
      <c r="I577" s="3">
        <f t="shared" si="51"/>
        <v>7.1304979797369231E-3</v>
      </c>
      <c r="J577" s="3">
        <f t="shared" si="52"/>
        <v>6.0355184783212334E-3</v>
      </c>
      <c r="K577" s="3" t="str">
        <f t="shared" si="53"/>
        <v>Normal</v>
      </c>
      <c r="L577" s="4">
        <f>VALUE(A577)</f>
        <v>42228</v>
      </c>
    </row>
    <row r="578" spans="1:12">
      <c r="A578" s="5">
        <v>42229</v>
      </c>
      <c r="B578" s="3">
        <v>529.65997300000004</v>
      </c>
      <c r="C578" s="3">
        <v>110.00511899999999</v>
      </c>
      <c r="D578" s="3">
        <v>265.02999899999998</v>
      </c>
      <c r="E578" s="3">
        <v>123.730003</v>
      </c>
      <c r="F578" s="3">
        <f t="shared" si="48"/>
        <v>2015</v>
      </c>
      <c r="G578" s="3" t="str">
        <f t="shared" si="49"/>
        <v>Aug</v>
      </c>
      <c r="H578" s="3" t="str">
        <f t="shared" si="50"/>
        <v>Q3</v>
      </c>
      <c r="I578" s="3">
        <f t="shared" si="51"/>
        <v>3.5117756576255547E-3</v>
      </c>
      <c r="J578" s="3">
        <f t="shared" si="52"/>
        <v>-1.7016979274108387E-2</v>
      </c>
      <c r="K578" s="3" t="str">
        <f t="shared" si="53"/>
        <v>Normal</v>
      </c>
      <c r="L578" s="4">
        <f>VALUE(A578)</f>
        <v>42229</v>
      </c>
    </row>
    <row r="579" spans="1:12">
      <c r="A579" s="5">
        <v>42230</v>
      </c>
      <c r="B579" s="3">
        <v>531.52002000000005</v>
      </c>
      <c r="C579" s="3">
        <v>109.976204</v>
      </c>
      <c r="D579" s="3">
        <v>260.51998900000001</v>
      </c>
      <c r="E579" s="3">
        <v>123.389999</v>
      </c>
      <c r="F579" s="3">
        <f t="shared" ref="F579:F642" si="54">YEAR(A579)</f>
        <v>2015</v>
      </c>
      <c r="G579" s="3" t="str">
        <f t="shared" ref="G579:G642" si="55">TEXT(A579,"MMM")</f>
        <v>Aug</v>
      </c>
      <c r="H579" s="3" t="str">
        <f t="shared" ref="H579:H642" si="56">"Q"&amp;ROUNDUP(MONTH(A579)/3,0)</f>
        <v>Q3</v>
      </c>
      <c r="I579" s="3">
        <f t="shared" ref="I579:I642" si="57">(B580-B579)/B579</f>
        <v>6.9610755207300404E-3</v>
      </c>
      <c r="J579" s="3">
        <f t="shared" ref="J579:J642" si="58">(D580-D579)/D579</f>
        <v>-5.2970937289575935E-2</v>
      </c>
      <c r="K579" s="3" t="str">
        <f t="shared" ref="K579:K642" si="59">IF(J579="","",IF(ABS(J579)&gt;0.05,"High Volatility","Normal"))</f>
        <v>High Volatility</v>
      </c>
      <c r="L579" s="4">
        <f>VALUE(A579)</f>
        <v>42230</v>
      </c>
    </row>
    <row r="580" spans="1:12">
      <c r="A580" s="5">
        <v>42233</v>
      </c>
      <c r="B580" s="3">
        <v>535.21997099999999</v>
      </c>
      <c r="C580" s="3">
        <v>110.766098</v>
      </c>
      <c r="D580" s="3">
        <v>246.720001</v>
      </c>
      <c r="E580" s="3">
        <v>125.360001</v>
      </c>
      <c r="F580" s="3">
        <f t="shared" si="54"/>
        <v>2015</v>
      </c>
      <c r="G580" s="3" t="str">
        <f t="shared" si="55"/>
        <v>Aug</v>
      </c>
      <c r="H580" s="3" t="str">
        <f t="shared" si="56"/>
        <v>Q3</v>
      </c>
      <c r="I580" s="3">
        <f t="shared" si="57"/>
        <v>-3.7358658277708741E-4</v>
      </c>
      <c r="J580" s="3">
        <f t="shared" si="58"/>
        <v>-8.3981845476727268E-2</v>
      </c>
      <c r="K580" s="3" t="str">
        <f t="shared" si="59"/>
        <v>High Volatility</v>
      </c>
      <c r="L580" s="4">
        <f>VALUE(A580)</f>
        <v>42233</v>
      </c>
    </row>
    <row r="581" spans="1:12">
      <c r="A581" s="5">
        <v>42234</v>
      </c>
      <c r="B581" s="3">
        <v>535.02002000000005</v>
      </c>
      <c r="C581" s="3">
        <v>108.752861</v>
      </c>
      <c r="D581" s="3">
        <v>226</v>
      </c>
      <c r="E581" s="3">
        <v>124.050003</v>
      </c>
      <c r="F581" s="3">
        <f t="shared" si="54"/>
        <v>2015</v>
      </c>
      <c r="G581" s="3" t="str">
        <f t="shared" si="55"/>
        <v>Aug</v>
      </c>
      <c r="H581" s="3" t="str">
        <f t="shared" si="56"/>
        <v>Q3</v>
      </c>
      <c r="I581" s="3">
        <f t="shared" si="57"/>
        <v>-3.9251559222027669E-3</v>
      </c>
      <c r="J581" s="3">
        <f t="shared" si="58"/>
        <v>3.8318601769911448E-2</v>
      </c>
      <c r="K581" s="3" t="str">
        <f t="shared" si="59"/>
        <v>Normal</v>
      </c>
      <c r="L581" s="4">
        <f>VALUE(A581)</f>
        <v>42234</v>
      </c>
    </row>
    <row r="582" spans="1:12">
      <c r="A582" s="5">
        <v>42235</v>
      </c>
      <c r="B582" s="3">
        <v>532.919983</v>
      </c>
      <c r="C582" s="3">
        <v>106.46993999999999</v>
      </c>
      <c r="D582" s="3">
        <v>234.66000399999999</v>
      </c>
      <c r="E582" s="3">
        <v>122.05999799999999</v>
      </c>
      <c r="F582" s="3">
        <f t="shared" si="54"/>
        <v>2015</v>
      </c>
      <c r="G582" s="3" t="str">
        <f t="shared" si="55"/>
        <v>Aug</v>
      </c>
      <c r="H582" s="3" t="str">
        <f t="shared" si="56"/>
        <v>Q3</v>
      </c>
      <c r="I582" s="3">
        <f t="shared" si="57"/>
        <v>-3.2162340589131165E-2</v>
      </c>
      <c r="J582" s="3">
        <f t="shared" si="58"/>
        <v>-9.6309978755476124E-3</v>
      </c>
      <c r="K582" s="3" t="str">
        <f t="shared" si="59"/>
        <v>Normal</v>
      </c>
      <c r="L582" s="4">
        <f>VALUE(A582)</f>
        <v>42235</v>
      </c>
    </row>
    <row r="583" spans="1:12">
      <c r="A583" s="5">
        <v>42236</v>
      </c>
      <c r="B583" s="3">
        <v>515.78002900000001</v>
      </c>
      <c r="C583" s="3">
        <v>103.70534499999999</v>
      </c>
      <c r="D583" s="3">
        <v>232.39999399999999</v>
      </c>
      <c r="E583" s="3">
        <v>112.489998</v>
      </c>
      <c r="F583" s="3">
        <f t="shared" si="54"/>
        <v>2015</v>
      </c>
      <c r="G583" s="3" t="str">
        <f t="shared" si="55"/>
        <v>Aug</v>
      </c>
      <c r="H583" s="3" t="str">
        <f t="shared" si="56"/>
        <v>Q3</v>
      </c>
      <c r="I583" s="3">
        <f t="shared" si="57"/>
        <v>-4.1316116952639877E-2</v>
      </c>
      <c r="J583" s="3">
        <f t="shared" si="58"/>
        <v>-1.2306372951111104E-2</v>
      </c>
      <c r="K583" s="3" t="str">
        <f t="shared" si="59"/>
        <v>Normal</v>
      </c>
      <c r="L583" s="4">
        <f>VALUE(A583)</f>
        <v>42236</v>
      </c>
    </row>
    <row r="584" spans="1:12">
      <c r="A584" s="5">
        <v>42237</v>
      </c>
      <c r="B584" s="3">
        <v>494.47000100000002</v>
      </c>
      <c r="C584" s="3">
        <v>100.64215900000001</v>
      </c>
      <c r="D584" s="3">
        <v>229.53999300000001</v>
      </c>
      <c r="E584" s="3">
        <v>103.959999</v>
      </c>
      <c r="F584" s="3">
        <f t="shared" si="54"/>
        <v>2015</v>
      </c>
      <c r="G584" s="3" t="str">
        <f t="shared" si="55"/>
        <v>Aug</v>
      </c>
      <c r="H584" s="3" t="str">
        <f t="shared" si="56"/>
        <v>Q3</v>
      </c>
      <c r="I584" s="3">
        <f t="shared" si="57"/>
        <v>-6.2895637626356235E-2</v>
      </c>
      <c r="J584" s="3">
        <f t="shared" si="58"/>
        <v>-3.9339541149153931E-2</v>
      </c>
      <c r="K584" s="3" t="str">
        <f t="shared" si="59"/>
        <v>Normal</v>
      </c>
      <c r="L584" s="4">
        <f>VALUE(A584)</f>
        <v>42237</v>
      </c>
    </row>
    <row r="585" spans="1:12">
      <c r="A585" s="5">
        <v>42240</v>
      </c>
      <c r="B585" s="3">
        <v>463.36999500000002</v>
      </c>
      <c r="C585" s="3">
        <v>98.041336000000001</v>
      </c>
      <c r="D585" s="3">
        <v>220.509995</v>
      </c>
      <c r="E585" s="3">
        <v>96.879997000000003</v>
      </c>
      <c r="F585" s="3">
        <f t="shared" si="54"/>
        <v>2015</v>
      </c>
      <c r="G585" s="3" t="str">
        <f t="shared" si="55"/>
        <v>Aug</v>
      </c>
      <c r="H585" s="3" t="str">
        <f t="shared" si="56"/>
        <v>Q3</v>
      </c>
      <c r="I585" s="3">
        <f t="shared" si="57"/>
        <v>6.4743078584533721E-3</v>
      </c>
      <c r="J585" s="3">
        <f t="shared" si="58"/>
        <v>2.0225867766220724E-2</v>
      </c>
      <c r="K585" s="3" t="str">
        <f t="shared" si="59"/>
        <v>Normal</v>
      </c>
      <c r="L585" s="4">
        <f>VALUE(A585)</f>
        <v>42240</v>
      </c>
    </row>
    <row r="586" spans="1:12">
      <c r="A586" s="5">
        <v>42241</v>
      </c>
      <c r="B586" s="3">
        <v>466.36999500000002</v>
      </c>
      <c r="C586" s="3">
        <v>101.16231500000001</v>
      </c>
      <c r="D586" s="3">
        <v>224.970001</v>
      </c>
      <c r="E586" s="3">
        <v>101.519997</v>
      </c>
      <c r="F586" s="3">
        <f t="shared" si="54"/>
        <v>2015</v>
      </c>
      <c r="G586" s="3" t="str">
        <f t="shared" si="55"/>
        <v>Aug</v>
      </c>
      <c r="H586" s="3" t="str">
        <f t="shared" si="56"/>
        <v>Q3</v>
      </c>
      <c r="I586" s="3">
        <f t="shared" si="57"/>
        <v>7.3761164673554938E-2</v>
      </c>
      <c r="J586" s="3">
        <f t="shared" si="58"/>
        <v>-9.9569053209009693E-3</v>
      </c>
      <c r="K586" s="3" t="str">
        <f t="shared" si="59"/>
        <v>Normal</v>
      </c>
      <c r="L586" s="4">
        <f>VALUE(A586)</f>
        <v>42241</v>
      </c>
    </row>
    <row r="587" spans="1:12">
      <c r="A587" s="5">
        <v>42242</v>
      </c>
      <c r="B587" s="3">
        <v>500.76998900000001</v>
      </c>
      <c r="C587" s="3">
        <v>102.395302</v>
      </c>
      <c r="D587" s="3">
        <v>222.729996</v>
      </c>
      <c r="E587" s="3">
        <v>110.129997</v>
      </c>
      <c r="F587" s="3">
        <f t="shared" si="54"/>
        <v>2015</v>
      </c>
      <c r="G587" s="3" t="str">
        <f t="shared" si="55"/>
        <v>Aug</v>
      </c>
      <c r="H587" s="3" t="str">
        <f t="shared" si="56"/>
        <v>Q3</v>
      </c>
      <c r="I587" s="3">
        <f t="shared" si="57"/>
        <v>3.5145888105527039E-2</v>
      </c>
      <c r="J587" s="3">
        <f t="shared" si="58"/>
        <v>4.0003605980399648E-2</v>
      </c>
      <c r="K587" s="3" t="str">
        <f t="shared" si="59"/>
        <v>Normal</v>
      </c>
      <c r="L587" s="4">
        <f>VALUE(A587)</f>
        <v>42242</v>
      </c>
    </row>
    <row r="588" spans="1:12">
      <c r="A588" s="5">
        <v>42243</v>
      </c>
      <c r="B588" s="3">
        <v>518.36999500000002</v>
      </c>
      <c r="C588" s="3">
        <v>103.84021</v>
      </c>
      <c r="D588" s="3">
        <v>231.63999899999999</v>
      </c>
      <c r="E588" s="3">
        <v>117.660004</v>
      </c>
      <c r="F588" s="3">
        <f t="shared" si="54"/>
        <v>2015</v>
      </c>
      <c r="G588" s="3" t="str">
        <f t="shared" si="55"/>
        <v>Aug</v>
      </c>
      <c r="H588" s="3" t="str">
        <f t="shared" si="56"/>
        <v>Q3</v>
      </c>
      <c r="I588" s="3">
        <f t="shared" si="57"/>
        <v>-6.9445570436624422E-4</v>
      </c>
      <c r="J588" s="3">
        <f t="shared" si="58"/>
        <v>-1.3555512923309886E-2</v>
      </c>
      <c r="K588" s="3" t="str">
        <f t="shared" si="59"/>
        <v>Normal</v>
      </c>
      <c r="L588" s="4">
        <f>VALUE(A588)</f>
        <v>42243</v>
      </c>
    </row>
    <row r="589" spans="1:12">
      <c r="A589" s="5">
        <v>42244</v>
      </c>
      <c r="B589" s="3">
        <v>518.01000999999997</v>
      </c>
      <c r="C589" s="3">
        <v>104.427826</v>
      </c>
      <c r="D589" s="3">
        <v>228.5</v>
      </c>
      <c r="E589" s="3">
        <v>117.629997</v>
      </c>
      <c r="F589" s="3">
        <f t="shared" si="54"/>
        <v>2015</v>
      </c>
      <c r="G589" s="3" t="str">
        <f t="shared" si="55"/>
        <v>Aug</v>
      </c>
      <c r="H589" s="3" t="str">
        <f t="shared" si="56"/>
        <v>Q3</v>
      </c>
      <c r="I589" s="3">
        <f t="shared" si="57"/>
        <v>-9.8839692306332411E-3</v>
      </c>
      <c r="J589" s="3">
        <f t="shared" si="58"/>
        <v>-5.7768358862144596E-3</v>
      </c>
      <c r="K589" s="3" t="str">
        <f t="shared" si="59"/>
        <v>Normal</v>
      </c>
      <c r="L589" s="4">
        <f>VALUE(A589)</f>
        <v>42244</v>
      </c>
    </row>
    <row r="590" spans="1:12">
      <c r="A590" s="5">
        <v>42247</v>
      </c>
      <c r="B590" s="3">
        <v>512.89001499999995</v>
      </c>
      <c r="C590" s="3">
        <v>102.04853799999999</v>
      </c>
      <c r="D590" s="3">
        <v>227.179993</v>
      </c>
      <c r="E590" s="3">
        <v>115.029999</v>
      </c>
      <c r="F590" s="3">
        <f t="shared" si="54"/>
        <v>2015</v>
      </c>
      <c r="G590" s="3" t="str">
        <f t="shared" si="55"/>
        <v>Aug</v>
      </c>
      <c r="H590" s="3" t="str">
        <f t="shared" si="56"/>
        <v>Q3</v>
      </c>
      <c r="I590" s="3">
        <f t="shared" si="57"/>
        <v>-3.1878191272645372E-2</v>
      </c>
      <c r="J590" s="3">
        <f t="shared" si="58"/>
        <v>6.382657120691148E-3</v>
      </c>
      <c r="K590" s="3" t="str">
        <f t="shared" si="59"/>
        <v>Normal</v>
      </c>
      <c r="L590" s="4">
        <f>VALUE(A590)</f>
        <v>42247</v>
      </c>
    </row>
    <row r="591" spans="1:12">
      <c r="A591" s="5">
        <v>42248</v>
      </c>
      <c r="B591" s="3">
        <v>496.540009</v>
      </c>
      <c r="C591" s="3">
        <v>100.035301</v>
      </c>
      <c r="D591" s="3">
        <v>228.63000500000001</v>
      </c>
      <c r="E591" s="3">
        <v>105.790001</v>
      </c>
      <c r="F591" s="3">
        <f t="shared" si="54"/>
        <v>2015</v>
      </c>
      <c r="G591" s="3" t="str">
        <f t="shared" si="55"/>
        <v>Sep</v>
      </c>
      <c r="H591" s="3" t="str">
        <f t="shared" si="56"/>
        <v>Q3</v>
      </c>
      <c r="I591" s="3">
        <f t="shared" si="57"/>
        <v>2.821520672264697E-2</v>
      </c>
      <c r="J591" s="3">
        <f t="shared" si="58"/>
        <v>-1.0628561198693124E-2</v>
      </c>
      <c r="K591" s="3" t="str">
        <f t="shared" si="59"/>
        <v>Normal</v>
      </c>
      <c r="L591" s="4">
        <f>VALUE(A591)</f>
        <v>42248</v>
      </c>
    </row>
    <row r="592" spans="1:12">
      <c r="A592" s="5">
        <v>42249</v>
      </c>
      <c r="B592" s="3">
        <v>510.54998799999998</v>
      </c>
      <c r="C592" s="3">
        <v>101.316452</v>
      </c>
      <c r="D592" s="3">
        <v>226.199997</v>
      </c>
      <c r="E592" s="3">
        <v>105.44000200000001</v>
      </c>
      <c r="F592" s="3">
        <f t="shared" si="54"/>
        <v>2015</v>
      </c>
      <c r="G592" s="3" t="str">
        <f t="shared" si="55"/>
        <v>Sep</v>
      </c>
      <c r="H592" s="3" t="str">
        <f t="shared" si="56"/>
        <v>Q3</v>
      </c>
      <c r="I592" s="3">
        <f t="shared" si="57"/>
        <v>-1.1419032684415537E-2</v>
      </c>
      <c r="J592" s="3">
        <f t="shared" si="58"/>
        <v>1.790452278387963E-2</v>
      </c>
      <c r="K592" s="3" t="str">
        <f t="shared" si="59"/>
        <v>Normal</v>
      </c>
      <c r="L592" s="4">
        <f>VALUE(A592)</f>
        <v>42249</v>
      </c>
    </row>
    <row r="593" spans="1:12">
      <c r="A593" s="5">
        <v>42250</v>
      </c>
      <c r="B593" s="3">
        <v>504.72000100000002</v>
      </c>
      <c r="C593" s="3">
        <v>101.28756</v>
      </c>
      <c r="D593" s="3">
        <v>230.25</v>
      </c>
      <c r="E593" s="3">
        <v>101.05999799999999</v>
      </c>
      <c r="F593" s="3">
        <f t="shared" si="54"/>
        <v>2015</v>
      </c>
      <c r="G593" s="3" t="str">
        <f t="shared" si="55"/>
        <v>Sep</v>
      </c>
      <c r="H593" s="3" t="str">
        <f t="shared" si="56"/>
        <v>Q3</v>
      </c>
      <c r="I593" s="3">
        <f t="shared" si="57"/>
        <v>-1.1333018284726198E-2</v>
      </c>
      <c r="J593" s="3">
        <f t="shared" si="58"/>
        <v>1.4853411509229066E-2</v>
      </c>
      <c r="K593" s="3" t="str">
        <f t="shared" si="59"/>
        <v>Normal</v>
      </c>
      <c r="L593" s="4">
        <f>VALUE(A593)</f>
        <v>42250</v>
      </c>
    </row>
    <row r="594" spans="1:12">
      <c r="A594" s="5">
        <v>42251</v>
      </c>
      <c r="B594" s="3">
        <v>499</v>
      </c>
      <c r="C594" s="3">
        <v>101.624702</v>
      </c>
      <c r="D594" s="3">
        <v>233.66999799999999</v>
      </c>
      <c r="E594" s="3">
        <v>98.790001000000004</v>
      </c>
      <c r="F594" s="3">
        <f t="shared" si="54"/>
        <v>2015</v>
      </c>
      <c r="G594" s="3" t="str">
        <f t="shared" si="55"/>
        <v>Sep</v>
      </c>
      <c r="H594" s="3" t="str">
        <f t="shared" si="56"/>
        <v>Q3</v>
      </c>
      <c r="I594" s="3">
        <f t="shared" si="57"/>
        <v>3.7154264529058158E-2</v>
      </c>
      <c r="J594" s="3">
        <f t="shared" si="58"/>
        <v>1.6005503624817057E-2</v>
      </c>
      <c r="K594" s="3" t="str">
        <f t="shared" si="59"/>
        <v>Normal</v>
      </c>
      <c r="L594" s="4">
        <f>VALUE(A594)</f>
        <v>42251</v>
      </c>
    </row>
    <row r="595" spans="1:12">
      <c r="A595" s="5">
        <v>42255</v>
      </c>
      <c r="B595" s="3">
        <v>517.53997800000002</v>
      </c>
      <c r="C595" s="3">
        <v>104.99612399999999</v>
      </c>
      <c r="D595" s="3">
        <v>237.41000399999999</v>
      </c>
      <c r="E595" s="3">
        <v>94.949996999999996</v>
      </c>
      <c r="F595" s="3">
        <f t="shared" si="54"/>
        <v>2015</v>
      </c>
      <c r="G595" s="3" t="str">
        <f t="shared" si="55"/>
        <v>Sep</v>
      </c>
      <c r="H595" s="3" t="str">
        <f t="shared" si="56"/>
        <v>Q3</v>
      </c>
      <c r="I595" s="3">
        <f t="shared" si="57"/>
        <v>-1.2558701310608138E-3</v>
      </c>
      <c r="J595" s="3">
        <f t="shared" si="58"/>
        <v>2.8221135955164762E-3</v>
      </c>
      <c r="K595" s="3" t="str">
        <f t="shared" si="59"/>
        <v>Normal</v>
      </c>
      <c r="L595" s="4">
        <f>VALUE(A595)</f>
        <v>42255</v>
      </c>
    </row>
    <row r="596" spans="1:12">
      <c r="A596" s="5">
        <v>42256</v>
      </c>
      <c r="B596" s="3">
        <v>516.89001499999995</v>
      </c>
      <c r="C596" s="3">
        <v>104.206245</v>
      </c>
      <c r="D596" s="3">
        <v>238.08000200000001</v>
      </c>
      <c r="E596" s="3">
        <v>99.18</v>
      </c>
      <c r="F596" s="3">
        <f t="shared" si="54"/>
        <v>2015</v>
      </c>
      <c r="G596" s="3" t="str">
        <f t="shared" si="55"/>
        <v>Sep</v>
      </c>
      <c r="H596" s="3" t="str">
        <f t="shared" si="56"/>
        <v>Q3</v>
      </c>
      <c r="I596" s="3">
        <f t="shared" si="57"/>
        <v>1.0350316014520199E-2</v>
      </c>
      <c r="J596" s="3">
        <f t="shared" si="58"/>
        <v>7.6444555809436904E-3</v>
      </c>
      <c r="K596" s="3" t="str">
        <f t="shared" si="59"/>
        <v>Normal</v>
      </c>
      <c r="L596" s="4">
        <f>VALUE(A596)</f>
        <v>42256</v>
      </c>
    </row>
    <row r="597" spans="1:12">
      <c r="A597" s="5">
        <v>42257</v>
      </c>
      <c r="B597" s="3">
        <v>522.23999000000003</v>
      </c>
      <c r="C597" s="3">
        <v>103.965439</v>
      </c>
      <c r="D597" s="3">
        <v>239.89999399999999</v>
      </c>
      <c r="E597" s="3">
        <v>99.480002999999996</v>
      </c>
      <c r="F597" s="3">
        <f t="shared" si="54"/>
        <v>2015</v>
      </c>
      <c r="G597" s="3" t="str">
        <f t="shared" si="55"/>
        <v>Sep</v>
      </c>
      <c r="H597" s="3" t="str">
        <f t="shared" si="56"/>
        <v>Q3</v>
      </c>
      <c r="I597" s="3">
        <f t="shared" si="57"/>
        <v>1.3786787947816893E-2</v>
      </c>
      <c r="J597" s="3">
        <f t="shared" si="58"/>
        <v>-1.7924085483720292E-2</v>
      </c>
      <c r="K597" s="3" t="str">
        <f t="shared" si="59"/>
        <v>Normal</v>
      </c>
      <c r="L597" s="4">
        <f>VALUE(A597)</f>
        <v>42257</v>
      </c>
    </row>
    <row r="598" spans="1:12">
      <c r="A598" s="5">
        <v>42258</v>
      </c>
      <c r="B598" s="3">
        <v>529.44000200000005</v>
      </c>
      <c r="C598" s="3">
        <v>106.477127</v>
      </c>
      <c r="D598" s="3">
        <v>235.60000600000001</v>
      </c>
      <c r="E598" s="3">
        <v>97.510002</v>
      </c>
      <c r="F598" s="3">
        <f t="shared" si="54"/>
        <v>2015</v>
      </c>
      <c r="G598" s="3" t="str">
        <f t="shared" si="55"/>
        <v>Sep</v>
      </c>
      <c r="H598" s="3" t="str">
        <f t="shared" si="56"/>
        <v>Q3</v>
      </c>
      <c r="I598" s="3">
        <f t="shared" si="57"/>
        <v>-1.5223626793504103E-2</v>
      </c>
      <c r="J598" s="3">
        <f t="shared" si="58"/>
        <v>-2.5764035846416761E-2</v>
      </c>
      <c r="K598" s="3" t="str">
        <f t="shared" si="59"/>
        <v>Normal</v>
      </c>
      <c r="L598" s="4">
        <f>VALUE(A598)</f>
        <v>42258</v>
      </c>
    </row>
    <row r="599" spans="1:12">
      <c r="A599" s="5">
        <v>42261</v>
      </c>
      <c r="B599" s="3">
        <v>521.38000499999998</v>
      </c>
      <c r="C599" s="3">
        <v>106.544769</v>
      </c>
      <c r="D599" s="3">
        <v>229.529999</v>
      </c>
      <c r="E599" s="3">
        <v>95.690002000000007</v>
      </c>
      <c r="F599" s="3">
        <f t="shared" si="54"/>
        <v>2015</v>
      </c>
      <c r="G599" s="3" t="str">
        <f t="shared" si="55"/>
        <v>Sep</v>
      </c>
      <c r="H599" s="3" t="str">
        <f t="shared" si="56"/>
        <v>Q3</v>
      </c>
      <c r="I599" s="3">
        <f t="shared" si="57"/>
        <v>1.8987878140820425E-3</v>
      </c>
      <c r="J599" s="3">
        <f t="shared" si="58"/>
        <v>-4.05172746068803E-3</v>
      </c>
      <c r="K599" s="3" t="str">
        <f t="shared" si="59"/>
        <v>Normal</v>
      </c>
      <c r="L599" s="4">
        <f>VALUE(A599)</f>
        <v>42261</v>
      </c>
    </row>
    <row r="600" spans="1:12">
      <c r="A600" s="5">
        <v>42262</v>
      </c>
      <c r="B600" s="3">
        <v>522.36999500000002</v>
      </c>
      <c r="C600" s="3">
        <v>108.02282</v>
      </c>
      <c r="D600" s="3">
        <v>228.60000600000001</v>
      </c>
      <c r="E600" s="3">
        <v>99.160004000000001</v>
      </c>
      <c r="F600" s="3">
        <f t="shared" si="54"/>
        <v>2015</v>
      </c>
      <c r="G600" s="3" t="str">
        <f t="shared" si="55"/>
        <v>Sep</v>
      </c>
      <c r="H600" s="3" t="str">
        <f t="shared" si="56"/>
        <v>Q3</v>
      </c>
      <c r="I600" s="3">
        <f t="shared" si="57"/>
        <v>9.6100848977742903E-3</v>
      </c>
      <c r="J600" s="3">
        <f t="shared" si="58"/>
        <v>1.8022724811302012E-2</v>
      </c>
      <c r="K600" s="3" t="str">
        <f t="shared" si="59"/>
        <v>Normal</v>
      </c>
      <c r="L600" s="4">
        <f>VALUE(A600)</f>
        <v>42262</v>
      </c>
    </row>
    <row r="601" spans="1:12">
      <c r="A601" s="5">
        <v>42263</v>
      </c>
      <c r="B601" s="3">
        <v>527.39001499999995</v>
      </c>
      <c r="C601" s="3">
        <v>107.82959700000001</v>
      </c>
      <c r="D601" s="3">
        <v>232.720001</v>
      </c>
      <c r="E601" s="3">
        <v>104.08000199999999</v>
      </c>
      <c r="F601" s="3">
        <f t="shared" si="54"/>
        <v>2015</v>
      </c>
      <c r="G601" s="3" t="str">
        <f t="shared" si="55"/>
        <v>Sep</v>
      </c>
      <c r="H601" s="3" t="str">
        <f t="shared" si="56"/>
        <v>Q3</v>
      </c>
      <c r="I601" s="3">
        <f t="shared" si="57"/>
        <v>2.1767533843051749E-2</v>
      </c>
      <c r="J601" s="3">
        <f t="shared" si="58"/>
        <v>-2.1914489421130849E-3</v>
      </c>
      <c r="K601" s="3" t="str">
        <f t="shared" si="59"/>
        <v>Normal</v>
      </c>
      <c r="L601" s="4">
        <f>VALUE(A601)</f>
        <v>42263</v>
      </c>
    </row>
    <row r="602" spans="1:12">
      <c r="A602" s="5">
        <v>42264</v>
      </c>
      <c r="B602" s="3">
        <v>538.86999500000002</v>
      </c>
      <c r="C602" s="3">
        <v>108.776337</v>
      </c>
      <c r="D602" s="3">
        <v>232.21000699999999</v>
      </c>
      <c r="E602" s="3">
        <v>104.209999</v>
      </c>
      <c r="F602" s="3">
        <f t="shared" si="54"/>
        <v>2015</v>
      </c>
      <c r="G602" s="3" t="str">
        <f t="shared" si="55"/>
        <v>Sep</v>
      </c>
      <c r="H602" s="3" t="str">
        <f t="shared" si="56"/>
        <v>Q3</v>
      </c>
      <c r="I602" s="3">
        <f t="shared" si="57"/>
        <v>2.5794997177379462E-3</v>
      </c>
      <c r="J602" s="3">
        <f t="shared" si="58"/>
        <v>-4.737117121743936E-3</v>
      </c>
      <c r="K602" s="3" t="str">
        <f t="shared" si="59"/>
        <v>Normal</v>
      </c>
      <c r="L602" s="4">
        <f>VALUE(A602)</f>
        <v>42264</v>
      </c>
    </row>
    <row r="603" spans="1:12">
      <c r="A603" s="5">
        <v>42265</v>
      </c>
      <c r="B603" s="3">
        <v>540.26000999999997</v>
      </c>
      <c r="C603" s="3">
        <v>107.887558</v>
      </c>
      <c r="D603" s="3">
        <v>231.11000100000001</v>
      </c>
      <c r="E603" s="3">
        <v>102.620003</v>
      </c>
      <c r="F603" s="3">
        <f t="shared" si="54"/>
        <v>2015</v>
      </c>
      <c r="G603" s="3" t="str">
        <f t="shared" si="55"/>
        <v>Sep</v>
      </c>
      <c r="H603" s="3" t="str">
        <f t="shared" si="56"/>
        <v>Q3</v>
      </c>
      <c r="I603" s="3">
        <f t="shared" si="57"/>
        <v>1.5048319049192597E-2</v>
      </c>
      <c r="J603" s="3">
        <f t="shared" si="58"/>
        <v>-4.7596642085601807E-3</v>
      </c>
      <c r="K603" s="3" t="str">
        <f t="shared" si="59"/>
        <v>Normal</v>
      </c>
      <c r="L603" s="4">
        <f>VALUE(A603)</f>
        <v>42265</v>
      </c>
    </row>
    <row r="604" spans="1:12">
      <c r="A604" s="5">
        <v>42268</v>
      </c>
      <c r="B604" s="3">
        <v>548.39001499999995</v>
      </c>
      <c r="C604" s="3">
        <v>107.25962800000001</v>
      </c>
      <c r="D604" s="3">
        <v>230.009995</v>
      </c>
      <c r="E604" s="3">
        <v>100.300003</v>
      </c>
      <c r="F604" s="3">
        <f t="shared" si="54"/>
        <v>2015</v>
      </c>
      <c r="G604" s="3" t="str">
        <f t="shared" si="55"/>
        <v>Sep</v>
      </c>
      <c r="H604" s="3" t="str">
        <f t="shared" si="56"/>
        <v>Q3</v>
      </c>
      <c r="I604" s="3">
        <f t="shared" si="57"/>
        <v>-1.8216945470825027E-2</v>
      </c>
      <c r="J604" s="3">
        <f t="shared" si="58"/>
        <v>-5.2169906790361278E-4</v>
      </c>
      <c r="K604" s="3" t="str">
        <f t="shared" si="59"/>
        <v>Normal</v>
      </c>
      <c r="L604" s="4">
        <f>VALUE(A604)</f>
        <v>42268</v>
      </c>
    </row>
    <row r="605" spans="1:12">
      <c r="A605" s="5">
        <v>42269</v>
      </c>
      <c r="B605" s="3">
        <v>538.40002400000003</v>
      </c>
      <c r="C605" s="3">
        <v>107.10507200000001</v>
      </c>
      <c r="D605" s="3">
        <v>229.88999899999999</v>
      </c>
      <c r="E605" s="3">
        <v>98.470000999999996</v>
      </c>
      <c r="F605" s="3">
        <f t="shared" si="54"/>
        <v>2015</v>
      </c>
      <c r="G605" s="3" t="str">
        <f t="shared" si="55"/>
        <v>Sep</v>
      </c>
      <c r="H605" s="3" t="str">
        <f t="shared" si="56"/>
        <v>Q3</v>
      </c>
      <c r="I605" s="3">
        <f t="shared" si="57"/>
        <v>-4.3276688264040604E-3</v>
      </c>
      <c r="J605" s="3">
        <f t="shared" si="58"/>
        <v>1.6834120739632589E-2</v>
      </c>
      <c r="K605" s="3" t="str">
        <f t="shared" si="59"/>
        <v>Normal</v>
      </c>
      <c r="L605" s="4">
        <f>VALUE(A605)</f>
        <v>42269</v>
      </c>
    </row>
    <row r="606" spans="1:12">
      <c r="A606" s="5">
        <v>42270</v>
      </c>
      <c r="B606" s="3">
        <v>536.07000700000003</v>
      </c>
      <c r="C606" s="3">
        <v>107.20166</v>
      </c>
      <c r="D606" s="3">
        <v>233.759995</v>
      </c>
      <c r="E606" s="3">
        <v>98.07</v>
      </c>
      <c r="F606" s="3">
        <f t="shared" si="54"/>
        <v>2015</v>
      </c>
      <c r="G606" s="3" t="str">
        <f t="shared" si="55"/>
        <v>Sep</v>
      </c>
      <c r="H606" s="3" t="str">
        <f t="shared" si="56"/>
        <v>Q3</v>
      </c>
      <c r="I606" s="3">
        <f t="shared" si="57"/>
        <v>-4.327806013590371E-3</v>
      </c>
      <c r="J606" s="3">
        <f t="shared" si="58"/>
        <v>5.4329398834903299E-3</v>
      </c>
      <c r="K606" s="3" t="str">
        <f t="shared" si="59"/>
        <v>Normal</v>
      </c>
      <c r="L606" s="4">
        <f>VALUE(A606)</f>
        <v>42270</v>
      </c>
    </row>
    <row r="607" spans="1:12">
      <c r="A607" s="5">
        <v>42271</v>
      </c>
      <c r="B607" s="3">
        <v>533.75</v>
      </c>
      <c r="C607" s="3">
        <v>106.544769</v>
      </c>
      <c r="D607" s="3">
        <v>235.029999</v>
      </c>
      <c r="E607" s="3">
        <v>103.760002</v>
      </c>
      <c r="F607" s="3">
        <f t="shared" si="54"/>
        <v>2015</v>
      </c>
      <c r="G607" s="3" t="str">
        <f t="shared" si="55"/>
        <v>Sep</v>
      </c>
      <c r="H607" s="3" t="str">
        <f t="shared" si="56"/>
        <v>Q3</v>
      </c>
      <c r="I607" s="3">
        <f t="shared" si="57"/>
        <v>-1.7798594847775177E-2</v>
      </c>
      <c r="J607" s="3">
        <f t="shared" si="58"/>
        <v>-3.105969463923624E-3</v>
      </c>
      <c r="K607" s="3" t="str">
        <f t="shared" si="59"/>
        <v>Normal</v>
      </c>
      <c r="L607" s="4">
        <f>VALUE(A607)</f>
        <v>42271</v>
      </c>
    </row>
    <row r="608" spans="1:12">
      <c r="A608" s="5">
        <v>42272</v>
      </c>
      <c r="B608" s="3">
        <v>524.25</v>
      </c>
      <c r="C608" s="3">
        <v>109.114441</v>
      </c>
      <c r="D608" s="3">
        <v>234.300003</v>
      </c>
      <c r="E608" s="3">
        <v>102.239998</v>
      </c>
      <c r="F608" s="3">
        <f t="shared" si="54"/>
        <v>2015</v>
      </c>
      <c r="G608" s="3" t="str">
        <f t="shared" si="55"/>
        <v>Sep</v>
      </c>
      <c r="H608" s="3" t="str">
        <f t="shared" si="56"/>
        <v>Q3</v>
      </c>
      <c r="I608" s="3">
        <f t="shared" si="57"/>
        <v>-3.8512164043872185E-2</v>
      </c>
      <c r="J608" s="3">
        <f t="shared" si="58"/>
        <v>1.028597511370918E-2</v>
      </c>
      <c r="K608" s="3" t="str">
        <f t="shared" si="59"/>
        <v>Normal</v>
      </c>
      <c r="L608" s="4">
        <f>VALUE(A608)</f>
        <v>42272</v>
      </c>
    </row>
    <row r="609" spans="1:12">
      <c r="A609" s="5">
        <v>42275</v>
      </c>
      <c r="B609" s="3">
        <v>504.05999800000001</v>
      </c>
      <c r="C609" s="3">
        <v>104.85420999999999</v>
      </c>
      <c r="D609" s="3">
        <v>236.71000699999999</v>
      </c>
      <c r="E609" s="3">
        <v>99.470000999999996</v>
      </c>
      <c r="F609" s="3">
        <f t="shared" si="54"/>
        <v>2015</v>
      </c>
      <c r="G609" s="3" t="str">
        <f t="shared" si="55"/>
        <v>Sep</v>
      </c>
      <c r="H609" s="3" t="str">
        <f t="shared" si="56"/>
        <v>Q3</v>
      </c>
      <c r="I609" s="3">
        <f t="shared" si="57"/>
        <v>-1.5851269753010697E-2</v>
      </c>
      <c r="J609" s="3">
        <f t="shared" si="58"/>
        <v>-3.2952303533157947E-3</v>
      </c>
      <c r="K609" s="3" t="str">
        <f t="shared" si="59"/>
        <v>Normal</v>
      </c>
      <c r="L609" s="4">
        <f>VALUE(A609)</f>
        <v>42275</v>
      </c>
    </row>
    <row r="610" spans="1:12">
      <c r="A610" s="5">
        <v>42276</v>
      </c>
      <c r="B610" s="3">
        <v>496.07000699999998</v>
      </c>
      <c r="C610" s="3">
        <v>102.274857</v>
      </c>
      <c r="D610" s="3">
        <v>235.929993</v>
      </c>
      <c r="E610" s="3">
        <v>98.349997999999999</v>
      </c>
      <c r="F610" s="3">
        <f t="shared" si="54"/>
        <v>2015</v>
      </c>
      <c r="G610" s="3" t="str">
        <f t="shared" si="55"/>
        <v>Sep</v>
      </c>
      <c r="H610" s="3" t="str">
        <f t="shared" si="56"/>
        <v>Q3</v>
      </c>
      <c r="I610" s="3">
        <f t="shared" si="57"/>
        <v>3.1890676269004971E-2</v>
      </c>
      <c r="J610" s="3">
        <f t="shared" si="58"/>
        <v>4.7472132972936924E-3</v>
      </c>
      <c r="K610" s="3" t="str">
        <f t="shared" si="59"/>
        <v>Normal</v>
      </c>
      <c r="L610" s="4">
        <f>VALUE(A610)</f>
        <v>42276</v>
      </c>
    </row>
    <row r="611" spans="1:12">
      <c r="A611" s="5">
        <v>42277</v>
      </c>
      <c r="B611" s="3">
        <v>511.89001500000001</v>
      </c>
      <c r="C611" s="3">
        <v>104.245575</v>
      </c>
      <c r="D611" s="3">
        <v>237.050003</v>
      </c>
      <c r="E611" s="3">
        <v>103.260002</v>
      </c>
      <c r="F611" s="3">
        <f t="shared" si="54"/>
        <v>2015</v>
      </c>
      <c r="G611" s="3" t="str">
        <f t="shared" si="55"/>
        <v>Sep</v>
      </c>
      <c r="H611" s="3" t="str">
        <f t="shared" si="56"/>
        <v>Q3</v>
      </c>
      <c r="I611" s="3">
        <f t="shared" si="57"/>
        <v>1.7249713300229116E-2</v>
      </c>
      <c r="J611" s="3">
        <f t="shared" si="58"/>
        <v>-1.4342796696780193E-3</v>
      </c>
      <c r="K611" s="3" t="str">
        <f t="shared" si="59"/>
        <v>Normal</v>
      </c>
      <c r="L611" s="4">
        <f>VALUE(A611)</f>
        <v>42277</v>
      </c>
    </row>
    <row r="612" spans="1:12">
      <c r="A612" s="5">
        <v>42278</v>
      </c>
      <c r="B612" s="3">
        <v>520.71997099999999</v>
      </c>
      <c r="C612" s="3">
        <v>101.753197</v>
      </c>
      <c r="D612" s="3">
        <v>236.71000699999999</v>
      </c>
      <c r="E612" s="3">
        <v>105.980003</v>
      </c>
      <c r="F612" s="3">
        <f t="shared" si="54"/>
        <v>2015</v>
      </c>
      <c r="G612" s="3" t="str">
        <f t="shared" si="55"/>
        <v>Oct</v>
      </c>
      <c r="H612" s="3" t="str">
        <f t="shared" si="56"/>
        <v>Q4</v>
      </c>
      <c r="I612" s="3">
        <f t="shared" si="57"/>
        <v>2.2699354083348635E-2</v>
      </c>
      <c r="J612" s="3">
        <f t="shared" si="58"/>
        <v>7.8999406222822564E-3</v>
      </c>
      <c r="K612" s="3" t="str">
        <f t="shared" si="59"/>
        <v>Normal</v>
      </c>
      <c r="L612" s="4">
        <f>VALUE(A612)</f>
        <v>42278</v>
      </c>
    </row>
    <row r="613" spans="1:12">
      <c r="A613" s="5">
        <v>42279</v>
      </c>
      <c r="B613" s="3">
        <v>532.53997800000002</v>
      </c>
      <c r="C613" s="3">
        <v>103.25054900000001</v>
      </c>
      <c r="D613" s="3">
        <v>238.58000200000001</v>
      </c>
      <c r="E613" s="3">
        <v>106.110001</v>
      </c>
      <c r="F613" s="3">
        <f t="shared" si="54"/>
        <v>2015</v>
      </c>
      <c r="G613" s="3" t="str">
        <f t="shared" si="55"/>
        <v>Oct</v>
      </c>
      <c r="H613" s="3" t="str">
        <f t="shared" si="56"/>
        <v>Q4</v>
      </c>
      <c r="I613" s="3">
        <f t="shared" si="57"/>
        <v>2.091864547303517E-2</v>
      </c>
      <c r="J613" s="3">
        <f t="shared" si="58"/>
        <v>3.168747144196931E-2</v>
      </c>
      <c r="K613" s="3" t="str">
        <f t="shared" si="59"/>
        <v>Normal</v>
      </c>
      <c r="L613" s="4">
        <f>VALUE(A613)</f>
        <v>42279</v>
      </c>
    </row>
    <row r="614" spans="1:12">
      <c r="A614" s="5">
        <v>42282</v>
      </c>
      <c r="B614" s="3">
        <v>543.67999299999997</v>
      </c>
      <c r="C614" s="3">
        <v>104.67063899999999</v>
      </c>
      <c r="D614" s="3">
        <v>246.13999899999999</v>
      </c>
      <c r="E614" s="3">
        <v>111.25</v>
      </c>
      <c r="F614" s="3">
        <f t="shared" si="54"/>
        <v>2015</v>
      </c>
      <c r="G614" s="3" t="str">
        <f t="shared" si="55"/>
        <v>Oct</v>
      </c>
      <c r="H614" s="3" t="str">
        <f t="shared" si="56"/>
        <v>Q4</v>
      </c>
      <c r="I614" s="3">
        <f t="shared" si="57"/>
        <v>-1.1403790979669199E-2</v>
      </c>
      <c r="J614" s="3">
        <f t="shared" si="58"/>
        <v>-1.283823439033974E-2</v>
      </c>
      <c r="K614" s="3" t="str">
        <f t="shared" si="59"/>
        <v>Normal</v>
      </c>
      <c r="L614" s="4">
        <f>VALUE(A614)</f>
        <v>42282</v>
      </c>
    </row>
    <row r="615" spans="1:12">
      <c r="A615" s="5">
        <v>42283</v>
      </c>
      <c r="B615" s="3">
        <v>537.47997999999995</v>
      </c>
      <c r="C615" s="3">
        <v>103.617653</v>
      </c>
      <c r="D615" s="3">
        <v>242.979996</v>
      </c>
      <c r="E615" s="3">
        <v>108.33000199999999</v>
      </c>
      <c r="F615" s="3">
        <f t="shared" si="54"/>
        <v>2015</v>
      </c>
      <c r="G615" s="3" t="str">
        <f t="shared" si="55"/>
        <v>Oct</v>
      </c>
      <c r="H615" s="3" t="str">
        <f t="shared" si="56"/>
        <v>Q4</v>
      </c>
      <c r="I615" s="3">
        <f t="shared" si="57"/>
        <v>8.2980244213004817E-3</v>
      </c>
      <c r="J615" s="3">
        <f t="shared" si="58"/>
        <v>-1.6462013605432458E-3</v>
      </c>
      <c r="K615" s="3" t="str">
        <f t="shared" si="59"/>
        <v>Normal</v>
      </c>
      <c r="L615" s="4">
        <f>VALUE(A615)</f>
        <v>42283</v>
      </c>
    </row>
    <row r="616" spans="1:12">
      <c r="A616" s="5">
        <v>42284</v>
      </c>
      <c r="B616" s="3">
        <v>541.94000200000005</v>
      </c>
      <c r="C616" s="3">
        <v>104.361519</v>
      </c>
      <c r="D616" s="3">
        <v>242.58000200000001</v>
      </c>
      <c r="E616" s="3">
        <v>108.099998</v>
      </c>
      <c r="F616" s="3">
        <f t="shared" si="54"/>
        <v>2015</v>
      </c>
      <c r="G616" s="3" t="str">
        <f t="shared" si="55"/>
        <v>Oct</v>
      </c>
      <c r="H616" s="3" t="str">
        <f t="shared" si="56"/>
        <v>Q4</v>
      </c>
      <c r="I616" s="3">
        <f t="shared" si="57"/>
        <v>-1.6201108919064462E-2</v>
      </c>
      <c r="J616" s="3">
        <f t="shared" si="58"/>
        <v>6.0185958774953028E-3</v>
      </c>
      <c r="K616" s="3" t="str">
        <f t="shared" si="59"/>
        <v>Normal</v>
      </c>
      <c r="L616" s="4">
        <f>VALUE(A616)</f>
        <v>42284</v>
      </c>
    </row>
    <row r="617" spans="1:12">
      <c r="A617" s="5">
        <v>42285</v>
      </c>
      <c r="B617" s="3">
        <v>533.15997300000004</v>
      </c>
      <c r="C617" s="3">
        <v>99.154533000000001</v>
      </c>
      <c r="D617" s="3">
        <v>244.03999300000001</v>
      </c>
      <c r="E617" s="3">
        <v>114.93</v>
      </c>
      <c r="F617" s="3">
        <f t="shared" si="54"/>
        <v>2015</v>
      </c>
      <c r="G617" s="3" t="str">
        <f t="shared" si="55"/>
        <v>Oct</v>
      </c>
      <c r="H617" s="3" t="str">
        <f t="shared" si="56"/>
        <v>Q4</v>
      </c>
      <c r="I617" s="3">
        <f t="shared" si="57"/>
        <v>1.2454076330294862E-2</v>
      </c>
      <c r="J617" s="3">
        <f t="shared" si="58"/>
        <v>5.3680258874618057E-3</v>
      </c>
      <c r="K617" s="3" t="str">
        <f t="shared" si="59"/>
        <v>Normal</v>
      </c>
      <c r="L617" s="4">
        <f>VALUE(A617)</f>
        <v>42285</v>
      </c>
    </row>
    <row r="618" spans="1:12">
      <c r="A618" s="5">
        <v>42286</v>
      </c>
      <c r="B618" s="3">
        <v>539.79998799999998</v>
      </c>
      <c r="C618" s="3">
        <v>101.801483</v>
      </c>
      <c r="D618" s="3">
        <v>245.35000600000001</v>
      </c>
      <c r="E618" s="3">
        <v>113.33000199999999</v>
      </c>
      <c r="F618" s="3">
        <f t="shared" si="54"/>
        <v>2015</v>
      </c>
      <c r="G618" s="3" t="str">
        <f t="shared" si="55"/>
        <v>Oct</v>
      </c>
      <c r="H618" s="3" t="str">
        <f t="shared" si="56"/>
        <v>Q4</v>
      </c>
      <c r="I618" s="3">
        <f t="shared" si="57"/>
        <v>1.9247895944747715E-2</v>
      </c>
      <c r="J618" s="3">
        <f t="shared" si="58"/>
        <v>1.3979999658121044E-2</v>
      </c>
      <c r="K618" s="3" t="str">
        <f t="shared" si="59"/>
        <v>Normal</v>
      </c>
      <c r="L618" s="4">
        <f>VALUE(A618)</f>
        <v>42286</v>
      </c>
    </row>
    <row r="619" spans="1:12">
      <c r="A619" s="5">
        <v>42289</v>
      </c>
      <c r="B619" s="3">
        <v>550.19000200000005</v>
      </c>
      <c r="C619" s="3">
        <v>102.477722</v>
      </c>
      <c r="D619" s="3">
        <v>248.779999</v>
      </c>
      <c r="E619" s="3">
        <v>113.449997</v>
      </c>
      <c r="F619" s="3">
        <f t="shared" si="54"/>
        <v>2015</v>
      </c>
      <c r="G619" s="3" t="str">
        <f t="shared" si="55"/>
        <v>Oct</v>
      </c>
      <c r="H619" s="3" t="str">
        <f t="shared" si="56"/>
        <v>Q4</v>
      </c>
      <c r="I619" s="3">
        <f t="shared" si="57"/>
        <v>-2.344604582618386E-3</v>
      </c>
      <c r="J619" s="3">
        <f t="shared" si="58"/>
        <v>1.4269647939021029E-2</v>
      </c>
      <c r="K619" s="3" t="str">
        <f t="shared" si="59"/>
        <v>Normal</v>
      </c>
      <c r="L619" s="4">
        <f>VALUE(A619)</f>
        <v>42289</v>
      </c>
    </row>
    <row r="620" spans="1:12">
      <c r="A620" s="5">
        <v>42290</v>
      </c>
      <c r="B620" s="3">
        <v>548.90002400000003</v>
      </c>
      <c r="C620" s="3">
        <v>102.564667</v>
      </c>
      <c r="D620" s="3">
        <v>252.33000200000001</v>
      </c>
      <c r="E620" s="3">
        <v>109.730003</v>
      </c>
      <c r="F620" s="3">
        <f t="shared" si="54"/>
        <v>2015</v>
      </c>
      <c r="G620" s="3" t="str">
        <f t="shared" si="55"/>
        <v>Oct</v>
      </c>
      <c r="H620" s="3" t="str">
        <f t="shared" si="56"/>
        <v>Q4</v>
      </c>
      <c r="I620" s="3">
        <f t="shared" si="57"/>
        <v>-7.4148420878918236E-3</v>
      </c>
      <c r="J620" s="3">
        <f t="shared" si="58"/>
        <v>8.362065482803686E-3</v>
      </c>
      <c r="K620" s="3" t="str">
        <f t="shared" si="59"/>
        <v>Normal</v>
      </c>
      <c r="L620" s="4">
        <f>VALUE(A620)</f>
        <v>42290</v>
      </c>
    </row>
    <row r="621" spans="1:12">
      <c r="A621" s="5">
        <v>42291</v>
      </c>
      <c r="B621" s="3">
        <v>544.830017</v>
      </c>
      <c r="C621" s="3">
        <v>100.825806</v>
      </c>
      <c r="D621" s="3">
        <v>254.44000199999999</v>
      </c>
      <c r="E621" s="3">
        <v>110.230003</v>
      </c>
      <c r="F621" s="3">
        <f t="shared" si="54"/>
        <v>2015</v>
      </c>
      <c r="G621" s="3" t="str">
        <f t="shared" si="55"/>
        <v>Oct</v>
      </c>
      <c r="H621" s="3" t="str">
        <f t="shared" si="56"/>
        <v>Q4</v>
      </c>
      <c r="I621" s="3">
        <f t="shared" si="57"/>
        <v>3.2321980159914818E-2</v>
      </c>
      <c r="J621" s="3">
        <f t="shared" si="58"/>
        <v>3.3131555312595949E-2</v>
      </c>
      <c r="K621" s="3" t="str">
        <f t="shared" si="59"/>
        <v>Normal</v>
      </c>
      <c r="L621" s="4">
        <f>VALUE(A621)</f>
        <v>42291</v>
      </c>
    </row>
    <row r="622" spans="1:12">
      <c r="A622" s="5">
        <v>42292</v>
      </c>
      <c r="B622" s="3">
        <v>562.44000200000005</v>
      </c>
      <c r="C622" s="3">
        <v>102.26519</v>
      </c>
      <c r="D622" s="3">
        <v>262.86999500000002</v>
      </c>
      <c r="E622" s="3">
        <v>101.089996</v>
      </c>
      <c r="F622" s="3">
        <f t="shared" si="54"/>
        <v>2015</v>
      </c>
      <c r="G622" s="3" t="str">
        <f t="shared" si="55"/>
        <v>Oct</v>
      </c>
      <c r="H622" s="3" t="str">
        <f t="shared" si="56"/>
        <v>Q4</v>
      </c>
      <c r="I622" s="3">
        <f t="shared" si="57"/>
        <v>1.4792703169074939E-2</v>
      </c>
      <c r="J622" s="3">
        <f t="shared" si="58"/>
        <v>2.5525895414575554E-2</v>
      </c>
      <c r="K622" s="3" t="str">
        <f t="shared" si="59"/>
        <v>Normal</v>
      </c>
      <c r="L622" s="4">
        <f>VALUE(A622)</f>
        <v>42292</v>
      </c>
    </row>
    <row r="623" spans="1:12">
      <c r="A623" s="5">
        <v>42293</v>
      </c>
      <c r="B623" s="3">
        <v>570.76000999999997</v>
      </c>
      <c r="C623" s="3">
        <v>102.612961</v>
      </c>
      <c r="D623" s="3">
        <v>269.57998700000002</v>
      </c>
      <c r="E623" s="3">
        <v>98.989998</v>
      </c>
      <c r="F623" s="3">
        <f t="shared" si="54"/>
        <v>2015</v>
      </c>
      <c r="G623" s="3" t="str">
        <f t="shared" si="55"/>
        <v>Oct</v>
      </c>
      <c r="H623" s="3" t="str">
        <f t="shared" si="56"/>
        <v>Q4</v>
      </c>
      <c r="I623" s="3">
        <f t="shared" si="57"/>
        <v>4.1874237124637816E-3</v>
      </c>
      <c r="J623" s="3">
        <f t="shared" si="58"/>
        <v>6.3065883299409414E-4</v>
      </c>
      <c r="K623" s="3" t="str">
        <f t="shared" si="59"/>
        <v>Normal</v>
      </c>
      <c r="L623" s="4">
        <f>VALUE(A623)</f>
        <v>42293</v>
      </c>
    </row>
    <row r="624" spans="1:12">
      <c r="A624" s="5">
        <v>42296</v>
      </c>
      <c r="B624" s="3">
        <v>573.15002400000003</v>
      </c>
      <c r="C624" s="3">
        <v>103.60799400000001</v>
      </c>
      <c r="D624" s="3">
        <v>269.75</v>
      </c>
      <c r="E624" s="3">
        <v>101.69000200000001</v>
      </c>
      <c r="F624" s="3">
        <f t="shared" si="54"/>
        <v>2015</v>
      </c>
      <c r="G624" s="3" t="str">
        <f t="shared" si="55"/>
        <v>Oct</v>
      </c>
      <c r="H624" s="3" t="str">
        <f t="shared" si="56"/>
        <v>Q4</v>
      </c>
      <c r="I624" s="3">
        <f t="shared" si="57"/>
        <v>-2.1408040628469113E-2</v>
      </c>
      <c r="J624" s="3">
        <f t="shared" si="58"/>
        <v>-9.7868952734013175E-3</v>
      </c>
      <c r="K624" s="3" t="str">
        <f t="shared" si="59"/>
        <v>Normal</v>
      </c>
      <c r="L624" s="4">
        <f>VALUE(A624)</f>
        <v>42296</v>
      </c>
    </row>
    <row r="625" spans="1:12">
      <c r="A625" s="5">
        <v>42297</v>
      </c>
      <c r="B625" s="3">
        <v>560.88000499999998</v>
      </c>
      <c r="C625" s="3">
        <v>102.583984</v>
      </c>
      <c r="D625" s="3">
        <v>267.10998499999999</v>
      </c>
      <c r="E625" s="3">
        <v>98.989998</v>
      </c>
      <c r="F625" s="3">
        <f t="shared" si="54"/>
        <v>2015</v>
      </c>
      <c r="G625" s="3" t="str">
        <f t="shared" si="55"/>
        <v>Oct</v>
      </c>
      <c r="H625" s="3" t="str">
        <f t="shared" si="56"/>
        <v>Q4</v>
      </c>
      <c r="I625" s="3">
        <f t="shared" si="57"/>
        <v>-9.1106563871891592E-3</v>
      </c>
      <c r="J625" s="3">
        <f t="shared" si="58"/>
        <v>2.7367108721150911E-2</v>
      </c>
      <c r="K625" s="3" t="str">
        <f t="shared" si="59"/>
        <v>Normal</v>
      </c>
      <c r="L625" s="4">
        <f>VALUE(A625)</f>
        <v>42297</v>
      </c>
    </row>
    <row r="626" spans="1:12">
      <c r="A626" s="5">
        <v>42298</v>
      </c>
      <c r="B626" s="3">
        <v>555.77002000000005</v>
      </c>
      <c r="C626" s="3">
        <v>99.946692999999996</v>
      </c>
      <c r="D626" s="3">
        <v>274.42001299999998</v>
      </c>
      <c r="E626" s="3">
        <v>97.959998999999996</v>
      </c>
      <c r="F626" s="3">
        <f t="shared" si="54"/>
        <v>2015</v>
      </c>
      <c r="G626" s="3" t="str">
        <f t="shared" si="55"/>
        <v>Oct</v>
      </c>
      <c r="H626" s="3" t="str">
        <f t="shared" si="56"/>
        <v>Q4</v>
      </c>
      <c r="I626" s="3">
        <f t="shared" si="57"/>
        <v>1.4646261415828062E-2</v>
      </c>
      <c r="J626" s="3">
        <f t="shared" si="58"/>
        <v>9.110122737294675E-3</v>
      </c>
      <c r="K626" s="3" t="str">
        <f t="shared" si="59"/>
        <v>Normal</v>
      </c>
      <c r="L626" s="4">
        <f>VALUE(A626)</f>
        <v>42298</v>
      </c>
    </row>
    <row r="627" spans="1:12">
      <c r="A627" s="5">
        <v>42299</v>
      </c>
      <c r="B627" s="3">
        <v>563.90997300000004</v>
      </c>
      <c r="C627" s="3">
        <v>100.42971</v>
      </c>
      <c r="D627" s="3">
        <v>276.92001299999998</v>
      </c>
      <c r="E627" s="3">
        <v>97.32</v>
      </c>
      <c r="F627" s="3">
        <f t="shared" si="54"/>
        <v>2015</v>
      </c>
      <c r="G627" s="3" t="str">
        <f t="shared" si="55"/>
        <v>Oct</v>
      </c>
      <c r="H627" s="3" t="str">
        <f t="shared" si="56"/>
        <v>Q4</v>
      </c>
      <c r="I627" s="3">
        <f t="shared" si="57"/>
        <v>6.2279544043460242E-2</v>
      </c>
      <c r="J627" s="3">
        <f t="shared" si="58"/>
        <v>2.0366837842088446E-2</v>
      </c>
      <c r="K627" s="3" t="str">
        <f t="shared" si="59"/>
        <v>Normal</v>
      </c>
      <c r="L627" s="4">
        <f>VALUE(A627)</f>
        <v>42299</v>
      </c>
    </row>
    <row r="628" spans="1:12">
      <c r="A628" s="5">
        <v>42300</v>
      </c>
      <c r="B628" s="3">
        <v>599.03002900000001</v>
      </c>
      <c r="C628" s="3">
        <v>100.56498000000001</v>
      </c>
      <c r="D628" s="3">
        <v>282.55999800000001</v>
      </c>
      <c r="E628" s="3">
        <v>100.040001</v>
      </c>
      <c r="F628" s="3">
        <f t="shared" si="54"/>
        <v>2015</v>
      </c>
      <c r="G628" s="3" t="str">
        <f t="shared" si="55"/>
        <v>Oct</v>
      </c>
      <c r="H628" s="3" t="str">
        <f t="shared" si="56"/>
        <v>Q4</v>
      </c>
      <c r="I628" s="3">
        <f t="shared" si="57"/>
        <v>1.5992447016374929E-2</v>
      </c>
      <c r="J628" s="3">
        <f t="shared" si="58"/>
        <v>9.1661806990810668E-3</v>
      </c>
      <c r="K628" s="3" t="str">
        <f t="shared" si="59"/>
        <v>Normal</v>
      </c>
      <c r="L628" s="4">
        <f>VALUE(A628)</f>
        <v>42300</v>
      </c>
    </row>
    <row r="629" spans="1:12">
      <c r="A629" s="5">
        <v>42303</v>
      </c>
      <c r="B629" s="3">
        <v>608.60998500000005</v>
      </c>
      <c r="C629" s="3">
        <v>102.21689600000001</v>
      </c>
      <c r="D629" s="3">
        <v>285.14999399999999</v>
      </c>
      <c r="E629" s="3">
        <v>103.040001</v>
      </c>
      <c r="F629" s="3">
        <f t="shared" si="54"/>
        <v>2015</v>
      </c>
      <c r="G629" s="3" t="str">
        <f t="shared" si="55"/>
        <v>Oct</v>
      </c>
      <c r="H629" s="3" t="str">
        <f t="shared" si="56"/>
        <v>Q4</v>
      </c>
      <c r="I629" s="3">
        <f t="shared" si="57"/>
        <v>3.9434532116654547E-3</v>
      </c>
      <c r="J629" s="3">
        <f t="shared" si="58"/>
        <v>3.3350903735246171E-2</v>
      </c>
      <c r="K629" s="3" t="str">
        <f t="shared" si="59"/>
        <v>Normal</v>
      </c>
      <c r="L629" s="4">
        <f>VALUE(A629)</f>
        <v>42303</v>
      </c>
    </row>
    <row r="630" spans="1:12">
      <c r="A630" s="5">
        <v>42304</v>
      </c>
      <c r="B630" s="3">
        <v>611.01000999999997</v>
      </c>
      <c r="C630" s="3">
        <v>101.395752</v>
      </c>
      <c r="D630" s="3">
        <v>294.66000400000001</v>
      </c>
      <c r="E630" s="3">
        <v>103.07</v>
      </c>
      <c r="F630" s="3">
        <f t="shared" si="54"/>
        <v>2015</v>
      </c>
      <c r="G630" s="3" t="str">
        <f t="shared" si="55"/>
        <v>Oct</v>
      </c>
      <c r="H630" s="3" t="str">
        <f t="shared" si="56"/>
        <v>Q4</v>
      </c>
      <c r="I630" s="3">
        <f t="shared" si="57"/>
        <v>9.9670478393635558E-3</v>
      </c>
      <c r="J630" s="3">
        <f t="shared" si="58"/>
        <v>3.0136444985590857E-2</v>
      </c>
      <c r="K630" s="3" t="str">
        <f t="shared" si="59"/>
        <v>Normal</v>
      </c>
      <c r="L630" s="4">
        <f>VALUE(A630)</f>
        <v>42304</v>
      </c>
    </row>
    <row r="631" spans="1:12">
      <c r="A631" s="5">
        <v>42305</v>
      </c>
      <c r="B631" s="3">
        <v>617.09997599999997</v>
      </c>
      <c r="C631" s="3">
        <v>105.984459</v>
      </c>
      <c r="D631" s="3">
        <v>303.540009</v>
      </c>
      <c r="E631" s="3">
        <v>105.800003</v>
      </c>
      <c r="F631" s="3">
        <f t="shared" si="54"/>
        <v>2015</v>
      </c>
      <c r="G631" s="3" t="str">
        <f t="shared" si="55"/>
        <v>Oct</v>
      </c>
      <c r="H631" s="3" t="str">
        <f t="shared" si="56"/>
        <v>Q4</v>
      </c>
      <c r="I631" s="3">
        <f t="shared" si="57"/>
        <v>1.5313583483270166E-2</v>
      </c>
      <c r="J631" s="3">
        <f t="shared" si="58"/>
        <v>3.3241074325724172E-2</v>
      </c>
      <c r="K631" s="3" t="str">
        <f t="shared" si="59"/>
        <v>Normal</v>
      </c>
      <c r="L631" s="4">
        <f>VALUE(A631)</f>
        <v>42305</v>
      </c>
    </row>
    <row r="632" spans="1:12">
      <c r="A632" s="5">
        <v>42306</v>
      </c>
      <c r="B632" s="3">
        <v>626.54998799999998</v>
      </c>
      <c r="C632" s="3">
        <v>105.68499799999999</v>
      </c>
      <c r="D632" s="3">
        <v>313.63000499999998</v>
      </c>
      <c r="E632" s="3">
        <v>105.120003</v>
      </c>
      <c r="F632" s="3">
        <f t="shared" si="54"/>
        <v>2015</v>
      </c>
      <c r="G632" s="3" t="str">
        <f t="shared" si="55"/>
        <v>Oct</v>
      </c>
      <c r="H632" s="3" t="str">
        <f t="shared" si="56"/>
        <v>Q4</v>
      </c>
      <c r="I632" s="3">
        <f t="shared" si="57"/>
        <v>-1.0373697429548981E-3</v>
      </c>
      <c r="J632" s="3">
        <f t="shared" si="58"/>
        <v>4.3012434349194474E-2</v>
      </c>
      <c r="K632" s="3" t="str">
        <f t="shared" si="59"/>
        <v>Normal</v>
      </c>
      <c r="L632" s="4">
        <f>VALUE(A632)</f>
        <v>42306</v>
      </c>
    </row>
    <row r="633" spans="1:12">
      <c r="A633" s="5">
        <v>42307</v>
      </c>
      <c r="B633" s="3">
        <v>625.90002400000003</v>
      </c>
      <c r="C633" s="3">
        <v>103.047691</v>
      </c>
      <c r="D633" s="3">
        <v>327.11999500000002</v>
      </c>
      <c r="E633" s="3">
        <v>108.379997</v>
      </c>
      <c r="F633" s="3">
        <f t="shared" si="54"/>
        <v>2015</v>
      </c>
      <c r="G633" s="3" t="str">
        <f t="shared" si="55"/>
        <v>Oct</v>
      </c>
      <c r="H633" s="3" t="str">
        <f t="shared" si="56"/>
        <v>Q4</v>
      </c>
      <c r="I633" s="3">
        <f t="shared" si="57"/>
        <v>3.9142864771641852E-3</v>
      </c>
      <c r="J633" s="3">
        <f t="shared" si="58"/>
        <v>9.8312559585359366E-2</v>
      </c>
      <c r="K633" s="3" t="str">
        <f t="shared" si="59"/>
        <v>High Volatility</v>
      </c>
      <c r="L633" s="4">
        <f>VALUE(A633)</f>
        <v>42307</v>
      </c>
    </row>
    <row r="634" spans="1:12">
      <c r="A634" s="5">
        <v>42310</v>
      </c>
      <c r="B634" s="3">
        <v>628.34997599999997</v>
      </c>
      <c r="C634" s="3">
        <v>105.05706000000001</v>
      </c>
      <c r="D634" s="3">
        <v>359.27999899999998</v>
      </c>
      <c r="E634" s="3">
        <v>107.639999</v>
      </c>
      <c r="F634" s="3">
        <f t="shared" si="54"/>
        <v>2015</v>
      </c>
      <c r="G634" s="3" t="str">
        <f t="shared" si="55"/>
        <v>Nov</v>
      </c>
      <c r="H634" s="3" t="str">
        <f t="shared" si="56"/>
        <v>Q4</v>
      </c>
      <c r="I634" s="3">
        <f t="shared" si="57"/>
        <v>-4.8380331282132797E-3</v>
      </c>
      <c r="J634" s="3">
        <f t="shared" si="58"/>
        <v>0.1035682228444896</v>
      </c>
      <c r="K634" s="3" t="str">
        <f t="shared" si="59"/>
        <v>High Volatility</v>
      </c>
      <c r="L634" s="4">
        <f>VALUE(A634)</f>
        <v>42310</v>
      </c>
    </row>
    <row r="635" spans="1:12">
      <c r="A635" s="5">
        <v>42311</v>
      </c>
      <c r="B635" s="3">
        <v>625.30999799999995</v>
      </c>
      <c r="C635" s="3">
        <v>103.53072400000001</v>
      </c>
      <c r="D635" s="3">
        <v>396.48998999999998</v>
      </c>
      <c r="E635" s="3">
        <v>109.739998</v>
      </c>
      <c r="F635" s="3">
        <f t="shared" si="54"/>
        <v>2015</v>
      </c>
      <c r="G635" s="3" t="str">
        <f t="shared" si="55"/>
        <v>Nov</v>
      </c>
      <c r="H635" s="3" t="str">
        <f t="shared" si="56"/>
        <v>Q4</v>
      </c>
      <c r="I635" s="3">
        <f t="shared" si="57"/>
        <v>2.5011616718145079E-2</v>
      </c>
      <c r="J635" s="3">
        <f t="shared" si="58"/>
        <v>1.1097442838342597E-2</v>
      </c>
      <c r="K635" s="3" t="str">
        <f t="shared" si="59"/>
        <v>Normal</v>
      </c>
      <c r="L635" s="4">
        <f>VALUE(A635)</f>
        <v>42311</v>
      </c>
    </row>
    <row r="636" spans="1:12">
      <c r="A636" s="5">
        <v>42312</v>
      </c>
      <c r="B636" s="3">
        <v>640.95001200000002</v>
      </c>
      <c r="C636" s="3">
        <v>101.482719</v>
      </c>
      <c r="D636" s="3">
        <v>400.89001500000001</v>
      </c>
      <c r="E636" s="3">
        <v>114.050003</v>
      </c>
      <c r="F636" s="3">
        <f t="shared" si="54"/>
        <v>2015</v>
      </c>
      <c r="G636" s="3" t="str">
        <f t="shared" si="55"/>
        <v>Nov</v>
      </c>
      <c r="H636" s="3" t="str">
        <f t="shared" si="56"/>
        <v>Q4</v>
      </c>
      <c r="I636" s="3">
        <f t="shared" si="57"/>
        <v>2.2934724588163383E-2</v>
      </c>
      <c r="J636" s="3">
        <f t="shared" si="58"/>
        <v>-4.5374048540470606E-2</v>
      </c>
      <c r="K636" s="3" t="str">
        <f t="shared" si="59"/>
        <v>Normal</v>
      </c>
      <c r="L636" s="4">
        <f>VALUE(A636)</f>
        <v>42312</v>
      </c>
    </row>
    <row r="637" spans="1:12">
      <c r="A637" s="5">
        <v>42313</v>
      </c>
      <c r="B637" s="3">
        <v>655.65002400000003</v>
      </c>
      <c r="C637" s="3">
        <v>100.574623</v>
      </c>
      <c r="D637" s="3">
        <v>382.70001200000002</v>
      </c>
      <c r="E637" s="3">
        <v>113.5</v>
      </c>
      <c r="F637" s="3">
        <f t="shared" si="54"/>
        <v>2015</v>
      </c>
      <c r="G637" s="3" t="str">
        <f t="shared" si="55"/>
        <v>Nov</v>
      </c>
      <c r="H637" s="3" t="str">
        <f t="shared" si="56"/>
        <v>Q4</v>
      </c>
      <c r="I637" s="3">
        <f t="shared" si="57"/>
        <v>5.6737144266465955E-3</v>
      </c>
      <c r="J637" s="3">
        <f t="shared" si="58"/>
        <v>-3.3681770566550195E-2</v>
      </c>
      <c r="K637" s="3" t="str">
        <f t="shared" si="59"/>
        <v>Normal</v>
      </c>
      <c r="L637" s="4">
        <f>VALUE(A637)</f>
        <v>42313</v>
      </c>
    </row>
    <row r="638" spans="1:12">
      <c r="A638" s="5">
        <v>42314</v>
      </c>
      <c r="B638" s="3">
        <v>659.36999500000002</v>
      </c>
      <c r="C638" s="3">
        <v>100.89341</v>
      </c>
      <c r="D638" s="3">
        <v>369.80999800000001</v>
      </c>
      <c r="E638" s="3">
        <v>114.05999799999999</v>
      </c>
      <c r="F638" s="3">
        <f t="shared" si="54"/>
        <v>2015</v>
      </c>
      <c r="G638" s="3" t="str">
        <f t="shared" si="55"/>
        <v>Nov</v>
      </c>
      <c r="H638" s="3" t="str">
        <f t="shared" si="56"/>
        <v>Q4</v>
      </c>
      <c r="I638" s="3">
        <f t="shared" si="57"/>
        <v>-5.884412438269932E-3</v>
      </c>
      <c r="J638" s="3">
        <f t="shared" si="58"/>
        <v>2.8149598594681632E-2</v>
      </c>
      <c r="K638" s="3" t="str">
        <f t="shared" si="59"/>
        <v>Normal</v>
      </c>
      <c r="L638" s="4">
        <f>VALUE(A638)</f>
        <v>42314</v>
      </c>
    </row>
    <row r="639" spans="1:12">
      <c r="A639" s="5">
        <v>42317</v>
      </c>
      <c r="B639" s="3">
        <v>655.48999000000003</v>
      </c>
      <c r="C639" s="3">
        <v>99.540954999999997</v>
      </c>
      <c r="D639" s="3">
        <v>380.22000100000002</v>
      </c>
      <c r="E639" s="3">
        <v>109.860001</v>
      </c>
      <c r="F639" s="3">
        <f t="shared" si="54"/>
        <v>2015</v>
      </c>
      <c r="G639" s="3" t="str">
        <f t="shared" si="55"/>
        <v>Nov</v>
      </c>
      <c r="H639" s="3" t="str">
        <f t="shared" si="56"/>
        <v>Q4</v>
      </c>
      <c r="I639" s="3">
        <f t="shared" si="57"/>
        <v>6.3921693144390092E-3</v>
      </c>
      <c r="J639" s="3">
        <f t="shared" si="58"/>
        <v>-0.11448634707672843</v>
      </c>
      <c r="K639" s="3" t="str">
        <f t="shared" si="59"/>
        <v>High Volatility</v>
      </c>
      <c r="L639" s="4">
        <f>VALUE(A639)</f>
        <v>42317</v>
      </c>
    </row>
    <row r="640" spans="1:12">
      <c r="A640" s="5">
        <v>42318</v>
      </c>
      <c r="B640" s="3">
        <v>659.67999299999997</v>
      </c>
      <c r="C640" s="3">
        <v>100.690552</v>
      </c>
      <c r="D640" s="3">
        <v>336.69000199999999</v>
      </c>
      <c r="E640" s="3">
        <v>112.699997</v>
      </c>
      <c r="F640" s="3">
        <f t="shared" si="54"/>
        <v>2015</v>
      </c>
      <c r="G640" s="3" t="str">
        <f t="shared" si="55"/>
        <v>Nov</v>
      </c>
      <c r="H640" s="3" t="str">
        <f t="shared" si="56"/>
        <v>Q4</v>
      </c>
      <c r="I640" s="3">
        <f t="shared" si="57"/>
        <v>2.0570590504478181E-2</v>
      </c>
      <c r="J640" s="3">
        <f t="shared" si="58"/>
        <v>-9.4983548100724388E-2</v>
      </c>
      <c r="K640" s="3" t="str">
        <f t="shared" si="59"/>
        <v>High Volatility</v>
      </c>
      <c r="L640" s="4">
        <f>VALUE(A640)</f>
        <v>42318</v>
      </c>
    </row>
    <row r="641" spans="1:12">
      <c r="A641" s="5">
        <v>42319</v>
      </c>
      <c r="B641" s="3">
        <v>673.25</v>
      </c>
      <c r="C641" s="3">
        <v>101.637276</v>
      </c>
      <c r="D641" s="3">
        <v>304.709991</v>
      </c>
      <c r="E641" s="3">
        <v>112.860001</v>
      </c>
      <c r="F641" s="3">
        <f t="shared" si="54"/>
        <v>2015</v>
      </c>
      <c r="G641" s="3" t="str">
        <f t="shared" si="55"/>
        <v>Nov</v>
      </c>
      <c r="H641" s="3" t="str">
        <f t="shared" si="56"/>
        <v>Q4</v>
      </c>
      <c r="I641" s="3">
        <f t="shared" si="57"/>
        <v>-1.136282807278133E-2</v>
      </c>
      <c r="J641" s="3">
        <f t="shared" si="58"/>
        <v>9.563196436181183E-2</v>
      </c>
      <c r="K641" s="3" t="str">
        <f t="shared" si="59"/>
        <v>High Volatility</v>
      </c>
      <c r="L641" s="4">
        <f>VALUE(A641)</f>
        <v>42319</v>
      </c>
    </row>
    <row r="642" spans="1:12">
      <c r="A642" s="5">
        <v>42320</v>
      </c>
      <c r="B642" s="3">
        <v>665.59997599999997</v>
      </c>
      <c r="C642" s="3">
        <v>99.396056999999999</v>
      </c>
      <c r="D642" s="3">
        <v>333.85000600000001</v>
      </c>
      <c r="E642" s="3">
        <v>108.91999800000001</v>
      </c>
      <c r="F642" s="3">
        <f t="shared" si="54"/>
        <v>2015</v>
      </c>
      <c r="G642" s="3" t="str">
        <f t="shared" si="55"/>
        <v>Nov</v>
      </c>
      <c r="H642" s="3" t="str">
        <f t="shared" si="56"/>
        <v>Q4</v>
      </c>
      <c r="I642" s="3">
        <f t="shared" si="57"/>
        <v>-3.4930890682604236E-2</v>
      </c>
      <c r="J642" s="3">
        <f t="shared" si="58"/>
        <v>-2.3967949247243088E-4</v>
      </c>
      <c r="K642" s="3" t="str">
        <f t="shared" si="59"/>
        <v>Normal</v>
      </c>
      <c r="L642" s="4">
        <f>VALUE(A642)</f>
        <v>42320</v>
      </c>
    </row>
    <row r="643" spans="1:12">
      <c r="A643" s="5">
        <v>42321</v>
      </c>
      <c r="B643" s="3">
        <v>642.34997599999997</v>
      </c>
      <c r="C643" s="3">
        <v>98.169182000000006</v>
      </c>
      <c r="D643" s="3">
        <v>333.76998900000001</v>
      </c>
      <c r="E643" s="3">
        <v>103.650002</v>
      </c>
      <c r="F643" s="3">
        <f t="shared" ref="F643:F706" si="60">YEAR(A643)</f>
        <v>2015</v>
      </c>
      <c r="G643" s="3" t="str">
        <f t="shared" ref="G643:G706" si="61">TEXT(A643,"MMM")</f>
        <v>Nov</v>
      </c>
      <c r="H643" s="3" t="str">
        <f t="shared" ref="H643:H706" si="62">"Q"&amp;ROUNDUP(MONTH(A643)/3,0)</f>
        <v>Q4</v>
      </c>
      <c r="I643" s="3">
        <f t="shared" ref="I643:I706" si="63">(B644-B643)/B643</f>
        <v>8.5000734864197781E-3</v>
      </c>
      <c r="J643" s="3">
        <f t="shared" ref="J643:J706" si="64">(D644-D643)/D643</f>
        <v>-1.0666021863337771E-2</v>
      </c>
      <c r="K643" s="3" t="str">
        <f t="shared" ref="K643:K706" si="65">IF(J643="","",IF(ABS(J643)&gt;0.05,"High Volatility","Normal"))</f>
        <v>Normal</v>
      </c>
      <c r="L643" s="4">
        <f>VALUE(A643)</f>
        <v>42321</v>
      </c>
    </row>
    <row r="644" spans="1:12">
      <c r="A644" s="5">
        <v>42324</v>
      </c>
      <c r="B644" s="3">
        <v>647.80999799999995</v>
      </c>
      <c r="C644" s="3">
        <v>99.975684999999999</v>
      </c>
      <c r="D644" s="3">
        <v>330.209991</v>
      </c>
      <c r="E644" s="3">
        <v>111.349998</v>
      </c>
      <c r="F644" s="3">
        <f t="shared" si="60"/>
        <v>2015</v>
      </c>
      <c r="G644" s="3" t="str">
        <f t="shared" si="61"/>
        <v>Nov</v>
      </c>
      <c r="H644" s="3" t="str">
        <f t="shared" si="62"/>
        <v>Q4</v>
      </c>
      <c r="I644" s="3">
        <f t="shared" si="63"/>
        <v>-6.9619333044007234E-3</v>
      </c>
      <c r="J644" s="3">
        <f t="shared" si="64"/>
        <v>1.120503043773746E-2</v>
      </c>
      <c r="K644" s="3" t="str">
        <f t="shared" si="65"/>
        <v>Normal</v>
      </c>
      <c r="L644" s="4">
        <f>VALUE(A644)</f>
        <v>42324</v>
      </c>
    </row>
    <row r="645" spans="1:12">
      <c r="A645" s="5">
        <v>42325</v>
      </c>
      <c r="B645" s="3">
        <v>643.29998799999998</v>
      </c>
      <c r="C645" s="3">
        <v>98.768105000000006</v>
      </c>
      <c r="D645" s="3">
        <v>333.91000400000001</v>
      </c>
      <c r="E645" s="3">
        <v>117.099998</v>
      </c>
      <c r="F645" s="3">
        <f t="shared" si="60"/>
        <v>2015</v>
      </c>
      <c r="G645" s="3" t="str">
        <f t="shared" si="61"/>
        <v>Nov</v>
      </c>
      <c r="H645" s="3" t="str">
        <f t="shared" si="62"/>
        <v>Q4</v>
      </c>
      <c r="I645" s="3">
        <f t="shared" si="63"/>
        <v>3.1462755133768221E-2</v>
      </c>
      <c r="J645" s="3">
        <f t="shared" si="64"/>
        <v>6.0196129972792554E-3</v>
      </c>
      <c r="K645" s="3" t="str">
        <f t="shared" si="65"/>
        <v>Normal</v>
      </c>
      <c r="L645" s="4">
        <f>VALUE(A645)</f>
        <v>42325</v>
      </c>
    </row>
    <row r="646" spans="1:12">
      <c r="A646" s="5">
        <v>42326</v>
      </c>
      <c r="B646" s="3">
        <v>663.53997800000002</v>
      </c>
      <c r="C646" s="3">
        <v>100.53598</v>
      </c>
      <c r="D646" s="3">
        <v>335.92001299999998</v>
      </c>
      <c r="E646" s="3">
        <v>120.629997</v>
      </c>
      <c r="F646" s="3">
        <f t="shared" si="60"/>
        <v>2015</v>
      </c>
      <c r="G646" s="3" t="str">
        <f t="shared" si="61"/>
        <v>Nov</v>
      </c>
      <c r="H646" s="3" t="str">
        <f t="shared" si="62"/>
        <v>Q4</v>
      </c>
      <c r="I646" s="3">
        <f t="shared" si="63"/>
        <v>-3.4209815162033448E-3</v>
      </c>
      <c r="J646" s="3">
        <f t="shared" si="64"/>
        <v>-3.2567282616769826E-2</v>
      </c>
      <c r="K646" s="3" t="str">
        <f t="shared" si="65"/>
        <v>Normal</v>
      </c>
      <c r="L646" s="4">
        <f>VALUE(A646)</f>
        <v>42326</v>
      </c>
    </row>
    <row r="647" spans="1:12">
      <c r="A647" s="5">
        <v>42327</v>
      </c>
      <c r="B647" s="3">
        <v>661.27002000000005</v>
      </c>
      <c r="C647" s="3">
        <v>100.97069500000001</v>
      </c>
      <c r="D647" s="3">
        <v>324.98001099999999</v>
      </c>
      <c r="E647" s="3">
        <v>120.220001</v>
      </c>
      <c r="F647" s="3">
        <f t="shared" si="60"/>
        <v>2015</v>
      </c>
      <c r="G647" s="3" t="str">
        <f t="shared" si="61"/>
        <v>Nov</v>
      </c>
      <c r="H647" s="3" t="str">
        <f t="shared" si="62"/>
        <v>Q4</v>
      </c>
      <c r="I647" s="3">
        <f t="shared" si="63"/>
        <v>1.0857882230922808E-2</v>
      </c>
      <c r="J647" s="3">
        <f t="shared" si="64"/>
        <v>-1.1877702841237129E-2</v>
      </c>
      <c r="K647" s="3" t="str">
        <f t="shared" si="65"/>
        <v>Normal</v>
      </c>
      <c r="L647" s="4">
        <f>VALUE(A647)</f>
        <v>42327</v>
      </c>
    </row>
    <row r="648" spans="1:12">
      <c r="A648" s="5">
        <v>42328</v>
      </c>
      <c r="B648" s="3">
        <v>668.45001200000002</v>
      </c>
      <c r="C648" s="3">
        <v>101.45372</v>
      </c>
      <c r="D648" s="3">
        <v>321.11999500000002</v>
      </c>
      <c r="E648" s="3">
        <v>123.839996</v>
      </c>
      <c r="F648" s="3">
        <f t="shared" si="60"/>
        <v>2015</v>
      </c>
      <c r="G648" s="3" t="str">
        <f t="shared" si="61"/>
        <v>Nov</v>
      </c>
      <c r="H648" s="3" t="str">
        <f t="shared" si="62"/>
        <v>Q4</v>
      </c>
      <c r="I648" s="3">
        <f t="shared" si="63"/>
        <v>1.576778788359124E-2</v>
      </c>
      <c r="J648" s="3">
        <f t="shared" si="64"/>
        <v>3.1141006962210494E-3</v>
      </c>
      <c r="K648" s="3" t="str">
        <f t="shared" si="65"/>
        <v>Normal</v>
      </c>
      <c r="L648" s="4">
        <f>VALUE(A648)</f>
        <v>42328</v>
      </c>
    </row>
    <row r="649" spans="1:12">
      <c r="A649" s="5">
        <v>42331</v>
      </c>
      <c r="B649" s="3">
        <v>678.98999000000003</v>
      </c>
      <c r="C649" s="3">
        <v>104.052376</v>
      </c>
      <c r="D649" s="3">
        <v>322.11999500000002</v>
      </c>
      <c r="E649" s="3">
        <v>125.029999</v>
      </c>
      <c r="F649" s="3">
        <f t="shared" si="60"/>
        <v>2015</v>
      </c>
      <c r="G649" s="3" t="str">
        <f t="shared" si="61"/>
        <v>Nov</v>
      </c>
      <c r="H649" s="3" t="str">
        <f t="shared" si="62"/>
        <v>Q4</v>
      </c>
      <c r="I649" s="3">
        <f t="shared" si="63"/>
        <v>-1.1546511900713005E-2</v>
      </c>
      <c r="J649" s="3">
        <f t="shared" si="64"/>
        <v>-1.1703678934926126E-2</v>
      </c>
      <c r="K649" s="3" t="str">
        <f t="shared" si="65"/>
        <v>Normal</v>
      </c>
      <c r="L649" s="4">
        <f>VALUE(A649)</f>
        <v>42331</v>
      </c>
    </row>
    <row r="650" spans="1:12">
      <c r="A650" s="5">
        <v>42332</v>
      </c>
      <c r="B650" s="3">
        <v>671.15002400000003</v>
      </c>
      <c r="C650" s="3">
        <v>103.79155</v>
      </c>
      <c r="D650" s="3">
        <v>318.35000600000001</v>
      </c>
      <c r="E650" s="3">
        <v>123.30999799999999</v>
      </c>
      <c r="F650" s="3">
        <f t="shared" si="60"/>
        <v>2015</v>
      </c>
      <c r="G650" s="3" t="str">
        <f t="shared" si="61"/>
        <v>Nov</v>
      </c>
      <c r="H650" s="3" t="str">
        <f t="shared" si="62"/>
        <v>Q4</v>
      </c>
      <c r="I650" s="3">
        <f t="shared" si="63"/>
        <v>6.243019965979966E-3</v>
      </c>
      <c r="J650" s="3">
        <f t="shared" si="64"/>
        <v>2.8804720675896584E-2</v>
      </c>
      <c r="K650" s="3" t="str">
        <f t="shared" si="65"/>
        <v>Normal</v>
      </c>
      <c r="L650" s="4">
        <f>VALUE(A650)</f>
        <v>42332</v>
      </c>
    </row>
    <row r="651" spans="1:12">
      <c r="A651" s="5">
        <v>42333</v>
      </c>
      <c r="B651" s="3">
        <v>675.34002699999996</v>
      </c>
      <c r="C651" s="3">
        <v>105.443466</v>
      </c>
      <c r="D651" s="3">
        <v>327.51998900000001</v>
      </c>
      <c r="E651" s="3">
        <v>124.160004</v>
      </c>
      <c r="F651" s="3">
        <f t="shared" si="60"/>
        <v>2015</v>
      </c>
      <c r="G651" s="3" t="str">
        <f t="shared" si="61"/>
        <v>Nov</v>
      </c>
      <c r="H651" s="3" t="str">
        <f t="shared" si="62"/>
        <v>Q4</v>
      </c>
      <c r="I651" s="3">
        <f t="shared" si="63"/>
        <v>-3.0799551586478055E-3</v>
      </c>
      <c r="J651" s="3">
        <f t="shared" si="64"/>
        <v>9.7703960291718253E-2</v>
      </c>
      <c r="K651" s="3" t="str">
        <f t="shared" si="65"/>
        <v>High Volatility</v>
      </c>
      <c r="L651" s="4">
        <f>VALUE(A651)</f>
        <v>42333</v>
      </c>
    </row>
    <row r="652" spans="1:12">
      <c r="A652" s="5">
        <v>42335</v>
      </c>
      <c r="B652" s="3">
        <v>673.26000999999997</v>
      </c>
      <c r="C652" s="3">
        <v>104.96045700000001</v>
      </c>
      <c r="D652" s="3">
        <v>359.51998900000001</v>
      </c>
      <c r="E652" s="3">
        <v>125.44000200000001</v>
      </c>
      <c r="F652" s="3">
        <f t="shared" si="60"/>
        <v>2015</v>
      </c>
      <c r="G652" s="3" t="str">
        <f t="shared" si="61"/>
        <v>Nov</v>
      </c>
      <c r="H652" s="3" t="str">
        <f t="shared" si="62"/>
        <v>Q4</v>
      </c>
      <c r="I652" s="3">
        <f t="shared" si="63"/>
        <v>-1.2565757470133984E-2</v>
      </c>
      <c r="J652" s="3">
        <f t="shared" si="64"/>
        <v>5.1318459514082856E-2</v>
      </c>
      <c r="K652" s="3" t="str">
        <f t="shared" si="65"/>
        <v>High Volatility</v>
      </c>
      <c r="L652" s="4">
        <f>VALUE(A652)</f>
        <v>42335</v>
      </c>
    </row>
    <row r="653" spans="1:12">
      <c r="A653" s="5">
        <v>42338</v>
      </c>
      <c r="B653" s="3">
        <v>664.79998799999998</v>
      </c>
      <c r="C653" s="3">
        <v>103.82053399999999</v>
      </c>
      <c r="D653" s="3">
        <v>377.97000100000002</v>
      </c>
      <c r="E653" s="3">
        <v>123.33000199999999</v>
      </c>
      <c r="F653" s="3">
        <f t="shared" si="60"/>
        <v>2015</v>
      </c>
      <c r="G653" s="3" t="str">
        <f t="shared" si="61"/>
        <v>Nov</v>
      </c>
      <c r="H653" s="3" t="str">
        <f t="shared" si="62"/>
        <v>Q4</v>
      </c>
      <c r="I653" s="3">
        <f t="shared" si="63"/>
        <v>2.1450075597775078E-2</v>
      </c>
      <c r="J653" s="3">
        <f t="shared" si="64"/>
        <v>-4.2781207390054324E-2</v>
      </c>
      <c r="K653" s="3" t="str">
        <f t="shared" si="65"/>
        <v>Normal</v>
      </c>
      <c r="L653" s="4">
        <f>VALUE(A653)</f>
        <v>42338</v>
      </c>
    </row>
    <row r="654" spans="1:12">
      <c r="A654" s="5">
        <v>42339</v>
      </c>
      <c r="B654" s="3">
        <v>679.05999799999995</v>
      </c>
      <c r="C654" s="3">
        <v>105.163338</v>
      </c>
      <c r="D654" s="3">
        <v>361.79998799999998</v>
      </c>
      <c r="E654" s="3">
        <v>125.370003</v>
      </c>
      <c r="F654" s="3">
        <f t="shared" si="60"/>
        <v>2015</v>
      </c>
      <c r="G654" s="3" t="str">
        <f t="shared" si="61"/>
        <v>Dec</v>
      </c>
      <c r="H654" s="3" t="str">
        <f t="shared" si="62"/>
        <v>Q4</v>
      </c>
      <c r="I654" s="3">
        <f t="shared" si="63"/>
        <v>-4.4914853017155414E-3</v>
      </c>
      <c r="J654" s="3">
        <f t="shared" si="64"/>
        <v>-5.0303401336762744E-3</v>
      </c>
      <c r="K654" s="3" t="str">
        <f t="shared" si="65"/>
        <v>Normal</v>
      </c>
      <c r="L654" s="4">
        <f>VALUE(A654)</f>
        <v>42339</v>
      </c>
    </row>
    <row r="655" spans="1:12">
      <c r="A655" s="5">
        <v>42340</v>
      </c>
      <c r="B655" s="3">
        <v>676.01000999999997</v>
      </c>
      <c r="C655" s="3">
        <v>105.105362</v>
      </c>
      <c r="D655" s="3">
        <v>359.98001099999999</v>
      </c>
      <c r="E655" s="3">
        <v>128.929993</v>
      </c>
      <c r="F655" s="3">
        <f t="shared" si="60"/>
        <v>2015</v>
      </c>
      <c r="G655" s="3" t="str">
        <f t="shared" si="61"/>
        <v>Dec</v>
      </c>
      <c r="H655" s="3" t="str">
        <f t="shared" si="62"/>
        <v>Q4</v>
      </c>
      <c r="I655" s="3">
        <f t="shared" si="63"/>
        <v>-1.4437670826797323E-2</v>
      </c>
      <c r="J655" s="3">
        <f t="shared" si="64"/>
        <v>9.1668145429335221E-4</v>
      </c>
      <c r="K655" s="3" t="str">
        <f t="shared" si="65"/>
        <v>Normal</v>
      </c>
      <c r="L655" s="4">
        <f>VALUE(A655)</f>
        <v>42340</v>
      </c>
    </row>
    <row r="656" spans="1:12">
      <c r="A656" s="5">
        <v>42341</v>
      </c>
      <c r="B656" s="3">
        <v>666.25</v>
      </c>
      <c r="C656" s="3">
        <v>103.79155</v>
      </c>
      <c r="D656" s="3">
        <v>360.30999800000001</v>
      </c>
      <c r="E656" s="3">
        <v>126.80999799999999</v>
      </c>
      <c r="F656" s="3">
        <f t="shared" si="60"/>
        <v>2015</v>
      </c>
      <c r="G656" s="3" t="str">
        <f t="shared" si="61"/>
        <v>Dec</v>
      </c>
      <c r="H656" s="3" t="str">
        <f t="shared" si="62"/>
        <v>Q4</v>
      </c>
      <c r="I656" s="3">
        <f t="shared" si="63"/>
        <v>9.5910168855533936E-3</v>
      </c>
      <c r="J656" s="3">
        <f t="shared" si="64"/>
        <v>3.7745691419863842E-3</v>
      </c>
      <c r="K656" s="3" t="str">
        <f t="shared" si="65"/>
        <v>Normal</v>
      </c>
      <c r="L656" s="4">
        <f>VALUE(A656)</f>
        <v>42341</v>
      </c>
    </row>
    <row r="657" spans="1:12">
      <c r="A657" s="5">
        <v>42342</v>
      </c>
      <c r="B657" s="3">
        <v>672.64001499999995</v>
      </c>
      <c r="C657" s="3">
        <v>106.10039500000001</v>
      </c>
      <c r="D657" s="3">
        <v>361.67001299999998</v>
      </c>
      <c r="E657" s="3">
        <v>130.929993</v>
      </c>
      <c r="F657" s="3">
        <f t="shared" si="60"/>
        <v>2015</v>
      </c>
      <c r="G657" s="3" t="str">
        <f t="shared" si="61"/>
        <v>Dec</v>
      </c>
      <c r="H657" s="3" t="str">
        <f t="shared" si="62"/>
        <v>Q4</v>
      </c>
      <c r="I657" s="3">
        <f t="shared" si="63"/>
        <v>-4.1775659154026845E-3</v>
      </c>
      <c r="J657" s="3">
        <f t="shared" si="64"/>
        <v>9.0165025652817934E-2</v>
      </c>
      <c r="K657" s="3" t="str">
        <f t="shared" si="65"/>
        <v>High Volatility</v>
      </c>
      <c r="L657" s="4">
        <f>VALUE(A657)</f>
        <v>42342</v>
      </c>
    </row>
    <row r="658" spans="1:12">
      <c r="A658" s="5">
        <v>42345</v>
      </c>
      <c r="B658" s="3">
        <v>669.830017</v>
      </c>
      <c r="C658" s="3">
        <v>106.641373</v>
      </c>
      <c r="D658" s="3">
        <v>394.27999899999998</v>
      </c>
      <c r="E658" s="3">
        <v>125.360001</v>
      </c>
      <c r="F658" s="3">
        <f t="shared" si="60"/>
        <v>2015</v>
      </c>
      <c r="G658" s="3" t="str">
        <f t="shared" si="61"/>
        <v>Dec</v>
      </c>
      <c r="H658" s="3" t="str">
        <f t="shared" si="62"/>
        <v>Q4</v>
      </c>
      <c r="I658" s="3">
        <f t="shared" si="63"/>
        <v>1.1196870563655257E-2</v>
      </c>
      <c r="J658" s="3">
        <f t="shared" si="64"/>
        <v>4.1569478648598682E-2</v>
      </c>
      <c r="K658" s="3" t="str">
        <f t="shared" si="65"/>
        <v>Normal</v>
      </c>
      <c r="L658" s="4">
        <f>VALUE(A658)</f>
        <v>42345</v>
      </c>
    </row>
    <row r="659" spans="1:12">
      <c r="A659" s="5">
        <v>42346</v>
      </c>
      <c r="B659" s="3">
        <v>677.330017</v>
      </c>
      <c r="C659" s="3">
        <v>106.20665</v>
      </c>
      <c r="D659" s="3">
        <v>410.67001299999998</v>
      </c>
      <c r="E659" s="3">
        <v>126.980003</v>
      </c>
      <c r="F659" s="3">
        <f t="shared" si="60"/>
        <v>2015</v>
      </c>
      <c r="G659" s="3" t="str">
        <f t="shared" si="61"/>
        <v>Dec</v>
      </c>
      <c r="H659" s="3" t="str">
        <f t="shared" si="62"/>
        <v>Q4</v>
      </c>
      <c r="I659" s="3">
        <f t="shared" si="63"/>
        <v>-1.8513927753477932E-2</v>
      </c>
      <c r="J659" s="3">
        <f t="shared" si="64"/>
        <v>1.2978758690131138E-2</v>
      </c>
      <c r="K659" s="3" t="str">
        <f t="shared" si="65"/>
        <v>Normal</v>
      </c>
      <c r="L659" s="4">
        <f>VALUE(A659)</f>
        <v>42346</v>
      </c>
    </row>
    <row r="660" spans="1:12">
      <c r="A660" s="5">
        <v>42347</v>
      </c>
      <c r="B660" s="3">
        <v>664.78997800000002</v>
      </c>
      <c r="C660" s="3">
        <v>105.39516399999999</v>
      </c>
      <c r="D660" s="3">
        <v>416</v>
      </c>
      <c r="E660" s="3">
        <v>124.199997</v>
      </c>
      <c r="F660" s="3">
        <f t="shared" si="60"/>
        <v>2015</v>
      </c>
      <c r="G660" s="3" t="str">
        <f t="shared" si="61"/>
        <v>Dec</v>
      </c>
      <c r="H660" s="3" t="str">
        <f t="shared" si="62"/>
        <v>Q4</v>
      </c>
      <c r="I660" s="3">
        <f t="shared" si="63"/>
        <v>-3.715415517289863E-3</v>
      </c>
      <c r="J660" s="3">
        <f t="shared" si="64"/>
        <v>-1.225985576923131E-3</v>
      </c>
      <c r="K660" s="3" t="str">
        <f t="shared" si="65"/>
        <v>Normal</v>
      </c>
      <c r="L660" s="4">
        <f>VALUE(A660)</f>
        <v>42347</v>
      </c>
    </row>
    <row r="661" spans="1:12">
      <c r="A661" s="5">
        <v>42348</v>
      </c>
      <c r="B661" s="3">
        <v>662.32000700000003</v>
      </c>
      <c r="C661" s="3">
        <v>105.627014</v>
      </c>
      <c r="D661" s="3">
        <v>415.48998999999998</v>
      </c>
      <c r="E661" s="3">
        <v>122.910004</v>
      </c>
      <c r="F661" s="3">
        <f t="shared" si="60"/>
        <v>2015</v>
      </c>
      <c r="G661" s="3" t="str">
        <f t="shared" si="61"/>
        <v>Dec</v>
      </c>
      <c r="H661" s="3" t="str">
        <f t="shared" si="62"/>
        <v>Q4</v>
      </c>
      <c r="I661" s="3">
        <f t="shared" si="63"/>
        <v>-3.3473219539931549E-2</v>
      </c>
      <c r="J661" s="3">
        <f t="shared" si="64"/>
        <v>8.2649396679809403E-2</v>
      </c>
      <c r="K661" s="3" t="str">
        <f t="shared" si="65"/>
        <v>High Volatility</v>
      </c>
      <c r="L661" s="4">
        <f>VALUE(A661)</f>
        <v>42348</v>
      </c>
    </row>
    <row r="662" spans="1:12">
      <c r="A662" s="5">
        <v>42349</v>
      </c>
      <c r="B662" s="3">
        <v>640.15002400000003</v>
      </c>
      <c r="C662" s="3">
        <v>105.249191</v>
      </c>
      <c r="D662" s="3">
        <v>449.82998700000002</v>
      </c>
      <c r="E662" s="3">
        <v>118.910004</v>
      </c>
      <c r="F662" s="3">
        <f t="shared" si="60"/>
        <v>2015</v>
      </c>
      <c r="G662" s="3" t="str">
        <f t="shared" si="61"/>
        <v>Dec</v>
      </c>
      <c r="H662" s="3" t="str">
        <f t="shared" si="62"/>
        <v>Q4</v>
      </c>
      <c r="I662" s="3">
        <f t="shared" si="63"/>
        <v>2.7743416908783878E-2</v>
      </c>
      <c r="J662" s="3">
        <f t="shared" si="64"/>
        <v>-1.7406547420770364E-2</v>
      </c>
      <c r="K662" s="3" t="str">
        <f t="shared" si="65"/>
        <v>Normal</v>
      </c>
      <c r="L662" s="4">
        <f>VALUE(A662)</f>
        <v>42349</v>
      </c>
    </row>
    <row r="663" spans="1:12">
      <c r="A663" s="5">
        <v>42352</v>
      </c>
      <c r="B663" s="3">
        <v>657.90997300000004</v>
      </c>
      <c r="C663" s="3">
        <v>105.96611</v>
      </c>
      <c r="D663" s="3">
        <v>442</v>
      </c>
      <c r="E663" s="3">
        <v>120.66999800000001</v>
      </c>
      <c r="F663" s="3">
        <f t="shared" si="60"/>
        <v>2015</v>
      </c>
      <c r="G663" s="3" t="str">
        <f t="shared" si="61"/>
        <v>Dec</v>
      </c>
      <c r="H663" s="3" t="str">
        <f t="shared" si="62"/>
        <v>Q4</v>
      </c>
      <c r="I663" s="3">
        <f t="shared" si="63"/>
        <v>1.109638141934523E-3</v>
      </c>
      <c r="J663" s="3">
        <f t="shared" si="64"/>
        <v>4.6719443438914009E-2</v>
      </c>
      <c r="K663" s="3" t="str">
        <f t="shared" si="65"/>
        <v>Normal</v>
      </c>
      <c r="L663" s="4">
        <f>VALUE(A663)</f>
        <v>42352</v>
      </c>
    </row>
    <row r="664" spans="1:12">
      <c r="A664" s="5">
        <v>42353</v>
      </c>
      <c r="B664" s="3">
        <v>658.64001499999995</v>
      </c>
      <c r="C664" s="3">
        <v>106.498924</v>
      </c>
      <c r="D664" s="3">
        <v>462.64999399999999</v>
      </c>
      <c r="E664" s="3">
        <v>118.599998</v>
      </c>
      <c r="F664" s="3">
        <f t="shared" si="60"/>
        <v>2015</v>
      </c>
      <c r="G664" s="3" t="str">
        <f t="shared" si="61"/>
        <v>Dec</v>
      </c>
      <c r="H664" s="3" t="str">
        <f t="shared" si="62"/>
        <v>Q4</v>
      </c>
      <c r="I664" s="3">
        <f t="shared" si="63"/>
        <v>2.6008144980380669E-2</v>
      </c>
      <c r="J664" s="3">
        <f t="shared" si="64"/>
        <v>-1.8739831649062989E-2</v>
      </c>
      <c r="K664" s="3" t="str">
        <f t="shared" si="65"/>
        <v>Normal</v>
      </c>
      <c r="L664" s="4">
        <f>VALUE(A664)</f>
        <v>42353</v>
      </c>
    </row>
    <row r="665" spans="1:12">
      <c r="A665" s="5">
        <v>42354</v>
      </c>
      <c r="B665" s="3">
        <v>675.77002000000005</v>
      </c>
      <c r="C665" s="3">
        <v>105.811089</v>
      </c>
      <c r="D665" s="3">
        <v>453.98001099999999</v>
      </c>
      <c r="E665" s="3">
        <v>122.639999</v>
      </c>
      <c r="F665" s="3">
        <f t="shared" si="60"/>
        <v>2015</v>
      </c>
      <c r="G665" s="3" t="str">
        <f t="shared" si="61"/>
        <v>Dec</v>
      </c>
      <c r="H665" s="3" t="str">
        <f t="shared" si="62"/>
        <v>Q4</v>
      </c>
      <c r="I665" s="3">
        <f t="shared" si="63"/>
        <v>-7.5765361712850391E-3</v>
      </c>
      <c r="J665" s="3">
        <f t="shared" si="64"/>
        <v>3.4142208080610512E-3</v>
      </c>
      <c r="K665" s="3" t="str">
        <f t="shared" si="65"/>
        <v>Normal</v>
      </c>
      <c r="L665" s="4">
        <f>VALUE(A665)</f>
        <v>42354</v>
      </c>
    </row>
    <row r="666" spans="1:12">
      <c r="A666" s="5">
        <v>42355</v>
      </c>
      <c r="B666" s="3">
        <v>670.65002400000003</v>
      </c>
      <c r="C666" s="3">
        <v>105.956413</v>
      </c>
      <c r="D666" s="3">
        <v>455.52999899999998</v>
      </c>
      <c r="E666" s="3">
        <v>122.510002</v>
      </c>
      <c r="F666" s="3">
        <f t="shared" si="60"/>
        <v>2015</v>
      </c>
      <c r="G666" s="3" t="str">
        <f t="shared" si="61"/>
        <v>Dec</v>
      </c>
      <c r="H666" s="3" t="str">
        <f t="shared" si="62"/>
        <v>Q4</v>
      </c>
      <c r="I666" s="3">
        <f t="shared" si="63"/>
        <v>-9.70701374343063E-3</v>
      </c>
      <c r="J666" s="3">
        <f t="shared" si="64"/>
        <v>1.6793611873627778E-2</v>
      </c>
      <c r="K666" s="3" t="str">
        <f t="shared" si="65"/>
        <v>Normal</v>
      </c>
      <c r="L666" s="4">
        <f>VALUE(A666)</f>
        <v>42355</v>
      </c>
    </row>
    <row r="667" spans="1:12">
      <c r="A667" s="5">
        <v>42356</v>
      </c>
      <c r="B667" s="3">
        <v>664.14001499999995</v>
      </c>
      <c r="C667" s="3">
        <v>105.44296300000001</v>
      </c>
      <c r="D667" s="3">
        <v>463.17999300000002</v>
      </c>
      <c r="E667" s="3">
        <v>118.019997</v>
      </c>
      <c r="F667" s="3">
        <f t="shared" si="60"/>
        <v>2015</v>
      </c>
      <c r="G667" s="3" t="str">
        <f t="shared" si="61"/>
        <v>Dec</v>
      </c>
      <c r="H667" s="3" t="str">
        <f t="shared" si="62"/>
        <v>Q4</v>
      </c>
      <c r="I667" s="3">
        <f t="shared" si="63"/>
        <v>5.5710391128897298E-4</v>
      </c>
      <c r="J667" s="3">
        <f t="shared" si="64"/>
        <v>-5.5248493861435072E-2</v>
      </c>
      <c r="K667" s="3" t="str">
        <f t="shared" si="65"/>
        <v>High Volatility</v>
      </c>
      <c r="L667" s="4">
        <f>VALUE(A667)</f>
        <v>42356</v>
      </c>
    </row>
    <row r="668" spans="1:12">
      <c r="A668" s="5">
        <v>42359</v>
      </c>
      <c r="B668" s="3">
        <v>664.51000999999997</v>
      </c>
      <c r="C668" s="3">
        <v>106.30519099999999</v>
      </c>
      <c r="D668" s="3">
        <v>437.58999599999999</v>
      </c>
      <c r="E668" s="3">
        <v>116.629997</v>
      </c>
      <c r="F668" s="3">
        <f t="shared" si="60"/>
        <v>2015</v>
      </c>
      <c r="G668" s="3" t="str">
        <f t="shared" si="61"/>
        <v>Dec</v>
      </c>
      <c r="H668" s="3" t="str">
        <f t="shared" si="62"/>
        <v>Q4</v>
      </c>
      <c r="I668" s="3">
        <f t="shared" si="63"/>
        <v>-2.0465997193931441E-3</v>
      </c>
      <c r="J668" s="3">
        <f t="shared" si="64"/>
        <v>-1.2797298958361239E-3</v>
      </c>
      <c r="K668" s="3" t="str">
        <f t="shared" si="65"/>
        <v>Normal</v>
      </c>
      <c r="L668" s="4">
        <f>VALUE(A668)</f>
        <v>42359</v>
      </c>
    </row>
    <row r="669" spans="1:12">
      <c r="A669" s="5">
        <v>42360</v>
      </c>
      <c r="B669" s="3">
        <v>663.15002400000003</v>
      </c>
      <c r="C669" s="3">
        <v>105.99516300000001</v>
      </c>
      <c r="D669" s="3">
        <v>437.02999899999998</v>
      </c>
      <c r="E669" s="3">
        <v>116.239998</v>
      </c>
      <c r="F669" s="3">
        <f t="shared" si="60"/>
        <v>2015</v>
      </c>
      <c r="G669" s="3" t="str">
        <f t="shared" si="61"/>
        <v>Dec</v>
      </c>
      <c r="H669" s="3" t="str">
        <f t="shared" si="62"/>
        <v>Q4</v>
      </c>
      <c r="I669" s="3">
        <f t="shared" si="63"/>
        <v>8.2935682740770708E-4</v>
      </c>
      <c r="J669" s="3">
        <f t="shared" si="64"/>
        <v>1.2356117457282491E-2</v>
      </c>
      <c r="K669" s="3" t="str">
        <f t="shared" si="65"/>
        <v>Normal</v>
      </c>
      <c r="L669" s="4">
        <f>VALUE(A669)</f>
        <v>42360</v>
      </c>
    </row>
    <row r="670" spans="1:12">
      <c r="A670" s="5">
        <v>42361</v>
      </c>
      <c r="B670" s="3">
        <v>663.70001200000002</v>
      </c>
      <c r="C670" s="3">
        <v>106.062988</v>
      </c>
      <c r="D670" s="3">
        <v>442.42999300000002</v>
      </c>
      <c r="E670" s="3">
        <v>118.160004</v>
      </c>
      <c r="F670" s="3">
        <f t="shared" si="60"/>
        <v>2015</v>
      </c>
      <c r="G670" s="3" t="str">
        <f t="shared" si="61"/>
        <v>Dec</v>
      </c>
      <c r="H670" s="3" t="str">
        <f t="shared" si="62"/>
        <v>Q4</v>
      </c>
      <c r="I670" s="3">
        <f t="shared" si="63"/>
        <v>-1.3711526044088665E-3</v>
      </c>
      <c r="J670" s="3">
        <f t="shared" si="64"/>
        <v>2.3845621153446451E-2</v>
      </c>
      <c r="K670" s="3" t="str">
        <f t="shared" si="65"/>
        <v>Normal</v>
      </c>
      <c r="L670" s="4">
        <f>VALUE(A670)</f>
        <v>42361</v>
      </c>
    </row>
    <row r="671" spans="1:12">
      <c r="A671" s="5">
        <v>42362</v>
      </c>
      <c r="B671" s="3">
        <v>662.78997800000002</v>
      </c>
      <c r="C671" s="3">
        <v>106.121109</v>
      </c>
      <c r="D671" s="3">
        <v>452.98001099999999</v>
      </c>
      <c r="E671" s="3">
        <v>117.33000199999999</v>
      </c>
      <c r="F671" s="3">
        <f t="shared" si="60"/>
        <v>2015</v>
      </c>
      <c r="G671" s="3" t="str">
        <f t="shared" si="61"/>
        <v>Dec</v>
      </c>
      <c r="H671" s="3" t="str">
        <f t="shared" si="62"/>
        <v>Q4</v>
      </c>
      <c r="I671" s="3">
        <f t="shared" si="63"/>
        <v>1.8723931278272883E-2</v>
      </c>
      <c r="J671" s="3">
        <f t="shared" si="64"/>
        <v>-6.89213657156275E-2</v>
      </c>
      <c r="K671" s="3" t="str">
        <f t="shared" si="65"/>
        <v>High Volatility</v>
      </c>
      <c r="L671" s="4">
        <f>VALUE(A671)</f>
        <v>42362</v>
      </c>
    </row>
    <row r="672" spans="1:12">
      <c r="A672" s="5">
        <v>42366</v>
      </c>
      <c r="B672" s="3">
        <v>675.20001200000002</v>
      </c>
      <c r="C672" s="3">
        <v>106.692688</v>
      </c>
      <c r="D672" s="3">
        <v>421.76001000000002</v>
      </c>
      <c r="E672" s="3">
        <v>117.110001</v>
      </c>
      <c r="F672" s="3">
        <f t="shared" si="60"/>
        <v>2015</v>
      </c>
      <c r="G672" s="3" t="str">
        <f t="shared" si="61"/>
        <v>Dec</v>
      </c>
      <c r="H672" s="3" t="str">
        <f t="shared" si="62"/>
        <v>Q4</v>
      </c>
      <c r="I672" s="3">
        <f t="shared" si="63"/>
        <v>2.7799109399304887E-2</v>
      </c>
      <c r="J672" s="3">
        <f t="shared" si="64"/>
        <v>2.4089536132171373E-2</v>
      </c>
      <c r="K672" s="3" t="str">
        <f t="shared" si="65"/>
        <v>Normal</v>
      </c>
      <c r="L672" s="4">
        <f>VALUE(A672)</f>
        <v>42366</v>
      </c>
    </row>
    <row r="673" spans="1:12">
      <c r="A673" s="5">
        <v>42367</v>
      </c>
      <c r="B673" s="3">
        <v>693.96997099999999</v>
      </c>
      <c r="C673" s="3">
        <v>108.504333</v>
      </c>
      <c r="D673" s="3">
        <v>431.92001299999998</v>
      </c>
      <c r="E673" s="3">
        <v>119.120003</v>
      </c>
      <c r="F673" s="3">
        <f t="shared" si="60"/>
        <v>2015</v>
      </c>
      <c r="G673" s="3" t="str">
        <f t="shared" si="61"/>
        <v>Dec</v>
      </c>
      <c r="H673" s="3" t="str">
        <f t="shared" si="62"/>
        <v>Q4</v>
      </c>
      <c r="I673" s="3">
        <f t="shared" si="63"/>
        <v>-7.0607723745440771E-3</v>
      </c>
      <c r="J673" s="3">
        <f t="shared" si="64"/>
        <v>-1.1043755455712099E-2</v>
      </c>
      <c r="K673" s="3" t="str">
        <f t="shared" si="65"/>
        <v>Normal</v>
      </c>
      <c r="L673" s="4">
        <f>VALUE(A673)</f>
        <v>42367</v>
      </c>
    </row>
    <row r="674" spans="1:12">
      <c r="A674" s="5">
        <v>42368</v>
      </c>
      <c r="B674" s="3">
        <v>689.07000700000003</v>
      </c>
      <c r="C674" s="3">
        <v>108.029625</v>
      </c>
      <c r="D674" s="3">
        <v>427.14999399999999</v>
      </c>
      <c r="E674" s="3">
        <v>116.709999</v>
      </c>
      <c r="F674" s="3">
        <f t="shared" si="60"/>
        <v>2015</v>
      </c>
      <c r="G674" s="3" t="str">
        <f t="shared" si="61"/>
        <v>Dec</v>
      </c>
      <c r="H674" s="3" t="str">
        <f t="shared" si="62"/>
        <v>Q4</v>
      </c>
      <c r="I674" s="3">
        <f t="shared" si="63"/>
        <v>-1.9127217650034917E-2</v>
      </c>
      <c r="J674" s="3">
        <f t="shared" si="64"/>
        <v>6.5551165617013275E-3</v>
      </c>
      <c r="K674" s="3" t="str">
        <f t="shared" si="65"/>
        <v>Normal</v>
      </c>
      <c r="L674" s="4">
        <f>VALUE(A674)</f>
        <v>42368</v>
      </c>
    </row>
    <row r="675" spans="1:12">
      <c r="A675" s="5">
        <v>42369</v>
      </c>
      <c r="B675" s="3">
        <v>675.89001499999995</v>
      </c>
      <c r="C675" s="3">
        <v>107.777733</v>
      </c>
      <c r="D675" s="3">
        <v>429.95001200000002</v>
      </c>
      <c r="E675" s="3">
        <v>114.379997</v>
      </c>
      <c r="F675" s="3">
        <f t="shared" si="60"/>
        <v>2015</v>
      </c>
      <c r="G675" s="3" t="str">
        <f t="shared" si="61"/>
        <v>Dec</v>
      </c>
      <c r="H675" s="3" t="str">
        <f t="shared" si="62"/>
        <v>Q4</v>
      </c>
      <c r="I675" s="3">
        <f t="shared" si="63"/>
        <v>-5.755377966339674E-2</v>
      </c>
      <c r="J675" s="3">
        <f t="shared" si="64"/>
        <v>7.838108863687996E-3</v>
      </c>
      <c r="K675" s="3" t="str">
        <f t="shared" si="65"/>
        <v>Normal</v>
      </c>
      <c r="L675" s="4">
        <f>VALUE(A675)</f>
        <v>42369</v>
      </c>
    </row>
    <row r="676" spans="1:12">
      <c r="A676" s="5">
        <v>42373</v>
      </c>
      <c r="B676" s="3">
        <v>636.98999000000003</v>
      </c>
      <c r="C676" s="3">
        <v>105.820778</v>
      </c>
      <c r="D676" s="3">
        <v>433.32000699999998</v>
      </c>
      <c r="E676" s="3">
        <v>109.959999</v>
      </c>
      <c r="F676" s="3">
        <f t="shared" si="60"/>
        <v>2016</v>
      </c>
      <c r="G676" s="3" t="str">
        <f t="shared" si="61"/>
        <v>Jan</v>
      </c>
      <c r="H676" s="3" t="str">
        <f t="shared" si="62"/>
        <v>Q1</v>
      </c>
      <c r="I676" s="3">
        <f t="shared" si="63"/>
        <v>-5.0236456619985742E-3</v>
      </c>
      <c r="J676" s="3">
        <f t="shared" si="64"/>
        <v>-4.8924466116330523E-3</v>
      </c>
      <c r="K676" s="3" t="str">
        <f t="shared" si="65"/>
        <v>Normal</v>
      </c>
      <c r="L676" s="4">
        <f>VALUE(A676)</f>
        <v>42373</v>
      </c>
    </row>
    <row r="677" spans="1:12">
      <c r="A677" s="5">
        <v>42374</v>
      </c>
      <c r="B677" s="3">
        <v>633.78997800000002</v>
      </c>
      <c r="C677" s="3">
        <v>106.498924</v>
      </c>
      <c r="D677" s="3">
        <v>431.20001200000002</v>
      </c>
      <c r="E677" s="3">
        <v>107.660004</v>
      </c>
      <c r="F677" s="3">
        <f t="shared" si="60"/>
        <v>2016</v>
      </c>
      <c r="G677" s="3" t="str">
        <f t="shared" si="61"/>
        <v>Jan</v>
      </c>
      <c r="H677" s="3" t="str">
        <f t="shared" si="62"/>
        <v>Q1</v>
      </c>
      <c r="I677" s="3">
        <f t="shared" si="63"/>
        <v>-1.7986305236274795E-3</v>
      </c>
      <c r="J677" s="3">
        <f t="shared" si="64"/>
        <v>-8.8127316656948435E-4</v>
      </c>
      <c r="K677" s="3" t="str">
        <f t="shared" si="65"/>
        <v>Normal</v>
      </c>
      <c r="L677" s="4">
        <f>VALUE(A677)</f>
        <v>42374</v>
      </c>
    </row>
    <row r="678" spans="1:12">
      <c r="A678" s="5">
        <v>42375</v>
      </c>
      <c r="B678" s="3">
        <v>632.65002400000003</v>
      </c>
      <c r="C678" s="3">
        <v>106.343918</v>
      </c>
      <c r="D678" s="3">
        <v>430.82000699999998</v>
      </c>
      <c r="E678" s="3">
        <v>117.68</v>
      </c>
      <c r="F678" s="3">
        <f t="shared" si="60"/>
        <v>2016</v>
      </c>
      <c r="G678" s="3" t="str">
        <f t="shared" si="61"/>
        <v>Jan</v>
      </c>
      <c r="H678" s="3" t="str">
        <f t="shared" si="62"/>
        <v>Q1</v>
      </c>
      <c r="I678" s="3">
        <f t="shared" si="63"/>
        <v>-3.9057964218144059E-2</v>
      </c>
      <c r="J678" s="3">
        <f t="shared" si="64"/>
        <v>6.0883850735372211E-2</v>
      </c>
      <c r="K678" s="3" t="str">
        <f t="shared" si="65"/>
        <v>High Volatility</v>
      </c>
      <c r="L678" s="4">
        <f>VALUE(A678)</f>
        <v>42375</v>
      </c>
    </row>
    <row r="679" spans="1:12">
      <c r="A679" s="5">
        <v>42376</v>
      </c>
      <c r="B679" s="3">
        <v>607.94000200000005</v>
      </c>
      <c r="C679" s="3">
        <v>103.41817500000001</v>
      </c>
      <c r="D679" s="3">
        <v>457.04998799999998</v>
      </c>
      <c r="E679" s="3">
        <v>114.55999799999999</v>
      </c>
      <c r="F679" s="3">
        <f t="shared" si="60"/>
        <v>2016</v>
      </c>
      <c r="G679" s="3" t="str">
        <f t="shared" si="61"/>
        <v>Jan</v>
      </c>
      <c r="H679" s="3" t="str">
        <f t="shared" si="62"/>
        <v>Q1</v>
      </c>
      <c r="I679" s="3">
        <f t="shared" si="63"/>
        <v>-1.4639832830083529E-3</v>
      </c>
      <c r="J679" s="3">
        <f t="shared" si="64"/>
        <v>-9.1455926260739073E-3</v>
      </c>
      <c r="K679" s="3" t="str">
        <f t="shared" si="65"/>
        <v>Normal</v>
      </c>
      <c r="L679" s="4">
        <f>VALUE(A679)</f>
        <v>42376</v>
      </c>
    </row>
    <row r="680" spans="1:12">
      <c r="A680" s="5">
        <v>42377</v>
      </c>
      <c r="B680" s="3">
        <v>607.04998799999998</v>
      </c>
      <c r="C680" s="3">
        <v>105.568909</v>
      </c>
      <c r="D680" s="3">
        <v>452.86999500000002</v>
      </c>
      <c r="E680" s="3">
        <v>111.389999</v>
      </c>
      <c r="F680" s="3">
        <f t="shared" si="60"/>
        <v>2016</v>
      </c>
      <c r="G680" s="3" t="str">
        <f t="shared" si="61"/>
        <v>Jan</v>
      </c>
      <c r="H680" s="3" t="str">
        <f t="shared" si="62"/>
        <v>Q1</v>
      </c>
      <c r="I680" s="3">
        <f t="shared" si="63"/>
        <v>1.7609755722456336E-2</v>
      </c>
      <c r="J680" s="3">
        <f t="shared" si="64"/>
        <v>-1.1371903762358979E-2</v>
      </c>
      <c r="K680" s="3" t="str">
        <f t="shared" si="65"/>
        <v>Normal</v>
      </c>
      <c r="L680" s="4">
        <f>VALUE(A680)</f>
        <v>42377</v>
      </c>
    </row>
    <row r="681" spans="1:12">
      <c r="A681" s="5">
        <v>42380</v>
      </c>
      <c r="B681" s="3">
        <v>617.73999000000003</v>
      </c>
      <c r="C681" s="3">
        <v>102.904724</v>
      </c>
      <c r="D681" s="3">
        <v>447.72000100000002</v>
      </c>
      <c r="E681" s="3">
        <v>114.970001</v>
      </c>
      <c r="F681" s="3">
        <f t="shared" si="60"/>
        <v>2016</v>
      </c>
      <c r="G681" s="3" t="str">
        <f t="shared" si="61"/>
        <v>Jan</v>
      </c>
      <c r="H681" s="3" t="str">
        <f t="shared" si="62"/>
        <v>Q1</v>
      </c>
      <c r="I681" s="3">
        <f t="shared" si="63"/>
        <v>2.4286107816965863E-4</v>
      </c>
      <c r="J681" s="3">
        <f t="shared" si="64"/>
        <v>-5.9858661529843668E-3</v>
      </c>
      <c r="K681" s="3" t="str">
        <f t="shared" si="65"/>
        <v>Normal</v>
      </c>
      <c r="L681" s="4">
        <f>VALUE(A681)</f>
        <v>42380</v>
      </c>
    </row>
    <row r="682" spans="1:12">
      <c r="A682" s="5">
        <v>42381</v>
      </c>
      <c r="B682" s="3">
        <v>617.89001499999995</v>
      </c>
      <c r="C682" s="3">
        <v>106.33422899999999</v>
      </c>
      <c r="D682" s="3">
        <v>445.040009</v>
      </c>
      <c r="E682" s="3">
        <v>116.58000199999999</v>
      </c>
      <c r="F682" s="3">
        <f t="shared" si="60"/>
        <v>2016</v>
      </c>
      <c r="G682" s="3" t="str">
        <f t="shared" si="61"/>
        <v>Jan</v>
      </c>
      <c r="H682" s="3" t="str">
        <f t="shared" si="62"/>
        <v>Q1</v>
      </c>
      <c r="I682" s="3">
        <f t="shared" si="63"/>
        <v>-5.8392296564300367E-2</v>
      </c>
      <c r="J682" s="3">
        <f t="shared" si="64"/>
        <v>-2.889631435361573E-2</v>
      </c>
      <c r="K682" s="3" t="str">
        <f t="shared" si="65"/>
        <v>Normal</v>
      </c>
      <c r="L682" s="4">
        <f>VALUE(A682)</f>
        <v>42381</v>
      </c>
    </row>
    <row r="683" spans="1:12">
      <c r="A683" s="5">
        <v>42382</v>
      </c>
      <c r="B683" s="3">
        <v>581.80999799999995</v>
      </c>
      <c r="C683" s="3">
        <v>104.590416</v>
      </c>
      <c r="D683" s="3">
        <v>432.17999300000002</v>
      </c>
      <c r="E683" s="3">
        <v>106.55999799999999</v>
      </c>
      <c r="F683" s="3">
        <f t="shared" si="60"/>
        <v>2016</v>
      </c>
      <c r="G683" s="3" t="str">
        <f t="shared" si="61"/>
        <v>Jan</v>
      </c>
      <c r="H683" s="3" t="str">
        <f t="shared" si="62"/>
        <v>Q1</v>
      </c>
      <c r="I683" s="3">
        <f t="shared" si="63"/>
        <v>1.923308646889229E-2</v>
      </c>
      <c r="J683" s="3">
        <f t="shared" si="64"/>
        <v>-7.0572170146711109E-3</v>
      </c>
      <c r="K683" s="3" t="str">
        <f t="shared" si="65"/>
        <v>Normal</v>
      </c>
      <c r="L683" s="4">
        <f>VALUE(A683)</f>
        <v>42382</v>
      </c>
    </row>
    <row r="684" spans="1:12">
      <c r="A684" s="5">
        <v>42383</v>
      </c>
      <c r="B684" s="3">
        <v>593</v>
      </c>
      <c r="C684" s="3">
        <v>103.79600499999999</v>
      </c>
      <c r="D684" s="3">
        <v>429.13000499999998</v>
      </c>
      <c r="E684" s="3">
        <v>107.05999799999999</v>
      </c>
      <c r="F684" s="3">
        <f t="shared" si="60"/>
        <v>2016</v>
      </c>
      <c r="G684" s="3" t="str">
        <f t="shared" si="61"/>
        <v>Jan</v>
      </c>
      <c r="H684" s="3" t="str">
        <f t="shared" si="62"/>
        <v>Q1</v>
      </c>
      <c r="I684" s="3">
        <f t="shared" si="63"/>
        <v>-3.8482305227656041E-2</v>
      </c>
      <c r="J684" s="3">
        <f t="shared" si="64"/>
        <v>-0.13252393059767509</v>
      </c>
      <c r="K684" s="3" t="str">
        <f t="shared" si="65"/>
        <v>High Volatility</v>
      </c>
      <c r="L684" s="4">
        <f>VALUE(A684)</f>
        <v>42383</v>
      </c>
    </row>
    <row r="685" spans="1:12">
      <c r="A685" s="5">
        <v>42384</v>
      </c>
      <c r="B685" s="3">
        <v>570.17999299999997</v>
      </c>
      <c r="C685" s="3">
        <v>100.909019</v>
      </c>
      <c r="D685" s="3">
        <v>372.26001000000002</v>
      </c>
      <c r="E685" s="3">
        <v>104.040001</v>
      </c>
      <c r="F685" s="3">
        <f t="shared" si="60"/>
        <v>2016</v>
      </c>
      <c r="G685" s="3" t="str">
        <f t="shared" si="61"/>
        <v>Jan</v>
      </c>
      <c r="H685" s="3" t="str">
        <f t="shared" si="62"/>
        <v>Q1</v>
      </c>
      <c r="I685" s="3">
        <f t="shared" si="63"/>
        <v>7.5414554224809277E-3</v>
      </c>
      <c r="J685" s="3">
        <f t="shared" si="64"/>
        <v>1.9341269023229166E-2</v>
      </c>
      <c r="K685" s="3" t="str">
        <f t="shared" si="65"/>
        <v>Normal</v>
      </c>
      <c r="L685" s="4">
        <f>VALUE(A685)</f>
        <v>42384</v>
      </c>
    </row>
    <row r="686" spans="1:12">
      <c r="A686" s="5">
        <v>42388</v>
      </c>
      <c r="B686" s="3">
        <v>574.47997999999995</v>
      </c>
      <c r="C686" s="3">
        <v>101.645302</v>
      </c>
      <c r="D686" s="3">
        <v>379.459991</v>
      </c>
      <c r="E686" s="3">
        <v>107.889999</v>
      </c>
      <c r="F686" s="3">
        <f t="shared" si="60"/>
        <v>2016</v>
      </c>
      <c r="G686" s="3" t="str">
        <f t="shared" si="61"/>
        <v>Jan</v>
      </c>
      <c r="H686" s="3" t="str">
        <f t="shared" si="62"/>
        <v>Q1</v>
      </c>
      <c r="I686" s="3">
        <f t="shared" si="63"/>
        <v>-4.7172401029534749E-3</v>
      </c>
      <c r="J686" s="3">
        <f t="shared" si="64"/>
        <v>9.255256636529044E-2</v>
      </c>
      <c r="K686" s="3" t="str">
        <f t="shared" si="65"/>
        <v>High Volatility</v>
      </c>
      <c r="L686" s="4">
        <f>VALUE(A686)</f>
        <v>42388</v>
      </c>
    </row>
    <row r="687" spans="1:12">
      <c r="A687" s="5">
        <v>42389</v>
      </c>
      <c r="B687" s="3">
        <v>571.77002000000005</v>
      </c>
      <c r="C687" s="3">
        <v>103.13723</v>
      </c>
      <c r="D687" s="3">
        <v>414.57998700000002</v>
      </c>
      <c r="E687" s="3">
        <v>107.739998</v>
      </c>
      <c r="F687" s="3">
        <f t="shared" si="60"/>
        <v>2016</v>
      </c>
      <c r="G687" s="3" t="str">
        <f t="shared" si="61"/>
        <v>Jan</v>
      </c>
      <c r="H687" s="3" t="str">
        <f t="shared" si="62"/>
        <v>Q1</v>
      </c>
      <c r="I687" s="3">
        <f t="shared" si="63"/>
        <v>5.6841035491857371E-3</v>
      </c>
      <c r="J687" s="3">
        <f t="shared" si="64"/>
        <v>-1.046841896881057E-2</v>
      </c>
      <c r="K687" s="3" t="str">
        <f t="shared" si="65"/>
        <v>Normal</v>
      </c>
      <c r="L687" s="4">
        <f>VALUE(A687)</f>
        <v>42389</v>
      </c>
    </row>
    <row r="688" spans="1:12">
      <c r="A688" s="5">
        <v>42390</v>
      </c>
      <c r="B688" s="3">
        <v>575.02002000000005</v>
      </c>
      <c r="C688" s="3">
        <v>104.34822800000001</v>
      </c>
      <c r="D688" s="3">
        <v>410.23998999999998</v>
      </c>
      <c r="E688" s="3">
        <v>102.349998</v>
      </c>
      <c r="F688" s="3">
        <f t="shared" si="60"/>
        <v>2016</v>
      </c>
      <c r="G688" s="3" t="str">
        <f t="shared" si="61"/>
        <v>Jan</v>
      </c>
      <c r="H688" s="3" t="str">
        <f t="shared" si="62"/>
        <v>Q1</v>
      </c>
      <c r="I688" s="3">
        <f t="shared" si="63"/>
        <v>3.7146506655542075E-2</v>
      </c>
      <c r="J688" s="3">
        <f t="shared" si="64"/>
        <v>-6.7253307021580194E-2</v>
      </c>
      <c r="K688" s="3" t="str">
        <f t="shared" si="65"/>
        <v>High Volatility</v>
      </c>
      <c r="L688" s="4">
        <f>VALUE(A688)</f>
        <v>42390</v>
      </c>
    </row>
    <row r="689" spans="1:12">
      <c r="A689" s="5">
        <v>42391</v>
      </c>
      <c r="B689" s="3">
        <v>596.38000499999998</v>
      </c>
      <c r="C689" s="3">
        <v>108.116798</v>
      </c>
      <c r="D689" s="3">
        <v>382.64999399999999</v>
      </c>
      <c r="E689" s="3">
        <v>100.720001</v>
      </c>
      <c r="F689" s="3">
        <f t="shared" si="60"/>
        <v>2016</v>
      </c>
      <c r="G689" s="3" t="str">
        <f t="shared" si="61"/>
        <v>Jan</v>
      </c>
      <c r="H689" s="3" t="str">
        <f t="shared" si="62"/>
        <v>Q1</v>
      </c>
      <c r="I689" s="3">
        <f t="shared" si="63"/>
        <v>2.515577295386192E-4</v>
      </c>
      <c r="J689" s="3">
        <f t="shared" si="64"/>
        <v>2.6421053596044301E-2</v>
      </c>
      <c r="K689" s="3" t="str">
        <f t="shared" si="65"/>
        <v>Normal</v>
      </c>
      <c r="L689" s="4">
        <f>VALUE(A689)</f>
        <v>42391</v>
      </c>
    </row>
    <row r="690" spans="1:12">
      <c r="A690" s="5">
        <v>42394</v>
      </c>
      <c r="B690" s="3">
        <v>596.53002900000001</v>
      </c>
      <c r="C690" s="3">
        <v>107.273956</v>
      </c>
      <c r="D690" s="3">
        <v>392.76001000000002</v>
      </c>
      <c r="E690" s="3">
        <v>99.120002999999997</v>
      </c>
      <c r="F690" s="3">
        <f t="shared" si="60"/>
        <v>2016</v>
      </c>
      <c r="G690" s="3" t="str">
        <f t="shared" si="61"/>
        <v>Jan</v>
      </c>
      <c r="H690" s="3" t="str">
        <f t="shared" si="62"/>
        <v>Q1</v>
      </c>
      <c r="I690" s="3">
        <f t="shared" si="63"/>
        <v>7.9123778695807893E-3</v>
      </c>
      <c r="J690" s="3">
        <f t="shared" si="64"/>
        <v>-7.5873584991507847E-3</v>
      </c>
      <c r="K690" s="3" t="str">
        <f t="shared" si="65"/>
        <v>Normal</v>
      </c>
      <c r="L690" s="4">
        <f>VALUE(A690)</f>
        <v>42394</v>
      </c>
    </row>
    <row r="691" spans="1:12">
      <c r="A691" s="5">
        <v>42395</v>
      </c>
      <c r="B691" s="3">
        <v>601.25</v>
      </c>
      <c r="C691" s="3">
        <v>108.66902899999999</v>
      </c>
      <c r="D691" s="3">
        <v>389.77999899999998</v>
      </c>
      <c r="E691" s="3">
        <v>97.830001999999993</v>
      </c>
      <c r="F691" s="3">
        <f t="shared" si="60"/>
        <v>2016</v>
      </c>
      <c r="G691" s="3" t="str">
        <f t="shared" si="61"/>
        <v>Jan</v>
      </c>
      <c r="H691" s="3" t="str">
        <f t="shared" si="62"/>
        <v>Q1</v>
      </c>
      <c r="I691" s="3">
        <f t="shared" si="63"/>
        <v>-2.9771349688149738E-2</v>
      </c>
      <c r="J691" s="3">
        <f t="shared" si="64"/>
        <v>1.3443455316956976E-2</v>
      </c>
      <c r="K691" s="3" t="str">
        <f t="shared" si="65"/>
        <v>Normal</v>
      </c>
      <c r="L691" s="4">
        <f>VALUE(A691)</f>
        <v>42395</v>
      </c>
    </row>
    <row r="692" spans="1:12">
      <c r="A692" s="5">
        <v>42396</v>
      </c>
      <c r="B692" s="3">
        <v>583.34997599999997</v>
      </c>
      <c r="C692" s="3">
        <v>107.593666</v>
      </c>
      <c r="D692" s="3">
        <v>395.01998900000001</v>
      </c>
      <c r="E692" s="3">
        <v>91.150002000000001</v>
      </c>
      <c r="F692" s="3">
        <f t="shared" si="60"/>
        <v>2016</v>
      </c>
      <c r="G692" s="3" t="str">
        <f t="shared" si="61"/>
        <v>Jan</v>
      </c>
      <c r="H692" s="3" t="str">
        <f t="shared" si="62"/>
        <v>Q1</v>
      </c>
      <c r="I692" s="3">
        <f t="shared" si="63"/>
        <v>8.9140313944231664E-2</v>
      </c>
      <c r="J692" s="3">
        <f t="shared" si="64"/>
        <v>-3.8808129783022234E-2</v>
      </c>
      <c r="K692" s="3" t="str">
        <f t="shared" si="65"/>
        <v>Normal</v>
      </c>
      <c r="L692" s="4">
        <f>VALUE(A692)</f>
        <v>42396</v>
      </c>
    </row>
    <row r="693" spans="1:12">
      <c r="A693" s="5">
        <v>42397</v>
      </c>
      <c r="B693" s="3">
        <v>635.34997599999997</v>
      </c>
      <c r="C693" s="3">
        <v>108.69807400000001</v>
      </c>
      <c r="D693" s="3">
        <v>379.69000199999999</v>
      </c>
      <c r="E693" s="3">
        <v>94.410004000000001</v>
      </c>
      <c r="F693" s="3">
        <f t="shared" si="60"/>
        <v>2016</v>
      </c>
      <c r="G693" s="3" t="str">
        <f t="shared" si="61"/>
        <v>Jan</v>
      </c>
      <c r="H693" s="3" t="str">
        <f t="shared" si="62"/>
        <v>Q1</v>
      </c>
      <c r="I693" s="3">
        <f t="shared" si="63"/>
        <v>-7.6099752618862093E-2</v>
      </c>
      <c r="J693" s="3">
        <f t="shared" si="64"/>
        <v>1.5802549364995E-3</v>
      </c>
      <c r="K693" s="3" t="str">
        <f t="shared" si="65"/>
        <v>Normal</v>
      </c>
      <c r="L693" s="4">
        <f>VALUE(A693)</f>
        <v>42397</v>
      </c>
    </row>
    <row r="694" spans="1:12">
      <c r="A694" s="5">
        <v>42398</v>
      </c>
      <c r="B694" s="3">
        <v>587</v>
      </c>
      <c r="C694" s="3">
        <v>110.374084</v>
      </c>
      <c r="D694" s="3">
        <v>380.290009</v>
      </c>
      <c r="E694" s="3">
        <v>91.839995999999999</v>
      </c>
      <c r="F694" s="3">
        <f t="shared" si="60"/>
        <v>2016</v>
      </c>
      <c r="G694" s="3" t="str">
        <f t="shared" si="61"/>
        <v>Jan</v>
      </c>
      <c r="H694" s="3" t="str">
        <f t="shared" si="62"/>
        <v>Q1</v>
      </c>
      <c r="I694" s="3">
        <f t="shared" si="63"/>
        <v>-2.0766613287904682E-2</v>
      </c>
      <c r="J694" s="3">
        <f t="shared" si="64"/>
        <v>-2.1325871855865593E-2</v>
      </c>
      <c r="K694" s="3" t="str">
        <f t="shared" si="65"/>
        <v>Normal</v>
      </c>
      <c r="L694" s="4">
        <f>VALUE(A694)</f>
        <v>42398</v>
      </c>
    </row>
    <row r="695" spans="1:12">
      <c r="A695" s="5">
        <v>42401</v>
      </c>
      <c r="B695" s="3">
        <v>574.80999799999995</v>
      </c>
      <c r="C695" s="3">
        <v>110.78098300000001</v>
      </c>
      <c r="D695" s="3">
        <v>372.17999300000002</v>
      </c>
      <c r="E695" s="3">
        <v>94.089995999999999</v>
      </c>
      <c r="F695" s="3">
        <f t="shared" si="60"/>
        <v>2016</v>
      </c>
      <c r="G695" s="3" t="str">
        <f t="shared" si="61"/>
        <v>Feb</v>
      </c>
      <c r="H695" s="3" t="str">
        <f t="shared" si="62"/>
        <v>Q1</v>
      </c>
      <c r="I695" s="3">
        <f t="shared" si="63"/>
        <v>-3.950874563597967E-2</v>
      </c>
      <c r="J695" s="3">
        <f t="shared" si="64"/>
        <v>4.6752110073793205E-3</v>
      </c>
      <c r="K695" s="3" t="str">
        <f t="shared" si="65"/>
        <v>Normal</v>
      </c>
      <c r="L695" s="4">
        <f>VALUE(A695)</f>
        <v>42401</v>
      </c>
    </row>
    <row r="696" spans="1:12">
      <c r="A696" s="5">
        <v>42402</v>
      </c>
      <c r="B696" s="3">
        <v>552.09997599999997</v>
      </c>
      <c r="C696" s="3">
        <v>110.199699</v>
      </c>
      <c r="D696" s="3">
        <v>373.92001299999998</v>
      </c>
      <c r="E696" s="3">
        <v>91.489998</v>
      </c>
      <c r="F696" s="3">
        <f t="shared" si="60"/>
        <v>2016</v>
      </c>
      <c r="G696" s="3" t="str">
        <f t="shared" si="61"/>
        <v>Feb</v>
      </c>
      <c r="H696" s="3" t="str">
        <f t="shared" si="62"/>
        <v>Q1</v>
      </c>
      <c r="I696" s="3">
        <f t="shared" si="63"/>
        <v>-3.809087106354074E-2</v>
      </c>
      <c r="J696" s="3">
        <f t="shared" si="64"/>
        <v>-1.5778839845087333E-2</v>
      </c>
      <c r="K696" s="3" t="str">
        <f t="shared" si="65"/>
        <v>Normal</v>
      </c>
      <c r="L696" s="4">
        <f>VALUE(A696)</f>
        <v>42402</v>
      </c>
    </row>
    <row r="697" spans="1:12">
      <c r="A697" s="5">
        <v>42403</v>
      </c>
      <c r="B697" s="3">
        <v>531.07000700000003</v>
      </c>
      <c r="C697" s="3">
        <v>110.248154</v>
      </c>
      <c r="D697" s="3">
        <v>368.01998900000001</v>
      </c>
      <c r="E697" s="3">
        <v>90.739998</v>
      </c>
      <c r="F697" s="3">
        <f t="shared" si="60"/>
        <v>2016</v>
      </c>
      <c r="G697" s="3" t="str">
        <f t="shared" si="61"/>
        <v>Feb</v>
      </c>
      <c r="H697" s="3" t="str">
        <f t="shared" si="62"/>
        <v>Q1</v>
      </c>
      <c r="I697" s="3">
        <f t="shared" si="63"/>
        <v>9.7727285133613895E-3</v>
      </c>
      <c r="J697" s="3">
        <f t="shared" si="64"/>
        <v>6.1491238727252887E-2</v>
      </c>
      <c r="K697" s="3" t="str">
        <f t="shared" si="65"/>
        <v>High Volatility</v>
      </c>
      <c r="L697" s="4">
        <f>VALUE(A697)</f>
        <v>42403</v>
      </c>
    </row>
    <row r="698" spans="1:12">
      <c r="A698" s="5">
        <v>42404</v>
      </c>
      <c r="B698" s="3">
        <v>536.26000999999997</v>
      </c>
      <c r="C698" s="3">
        <v>110.441902</v>
      </c>
      <c r="D698" s="3">
        <v>390.64999399999999</v>
      </c>
      <c r="E698" s="3">
        <v>89.709998999999996</v>
      </c>
      <c r="F698" s="3">
        <f t="shared" si="60"/>
        <v>2016</v>
      </c>
      <c r="G698" s="3" t="str">
        <f t="shared" si="61"/>
        <v>Feb</v>
      </c>
      <c r="H698" s="3" t="str">
        <f t="shared" si="62"/>
        <v>Q1</v>
      </c>
      <c r="I698" s="3">
        <f t="shared" si="63"/>
        <v>-6.364450893886342E-2</v>
      </c>
      <c r="J698" s="3">
        <f t="shared" si="64"/>
        <v>-1.0725721398577547E-2</v>
      </c>
      <c r="K698" s="3" t="str">
        <f t="shared" si="65"/>
        <v>Normal</v>
      </c>
      <c r="L698" s="4">
        <f>VALUE(A698)</f>
        <v>42404</v>
      </c>
    </row>
    <row r="699" spans="1:12">
      <c r="A699" s="5">
        <v>42405</v>
      </c>
      <c r="B699" s="3">
        <v>502.13000499999998</v>
      </c>
      <c r="C699" s="3">
        <v>106.925194</v>
      </c>
      <c r="D699" s="3">
        <v>386.459991</v>
      </c>
      <c r="E699" s="3">
        <v>82.790001000000004</v>
      </c>
      <c r="F699" s="3">
        <f t="shared" si="60"/>
        <v>2016</v>
      </c>
      <c r="G699" s="3" t="str">
        <f t="shared" si="61"/>
        <v>Feb</v>
      </c>
      <c r="H699" s="3" t="str">
        <f t="shared" si="62"/>
        <v>Q1</v>
      </c>
      <c r="I699" s="3">
        <f t="shared" si="63"/>
        <v>-2.7940969191833052E-2</v>
      </c>
      <c r="J699" s="3">
        <f t="shared" si="64"/>
        <v>-3.578633318345241E-2</v>
      </c>
      <c r="K699" s="3" t="str">
        <f t="shared" si="65"/>
        <v>Normal</v>
      </c>
      <c r="L699" s="4">
        <f>VALUE(A699)</f>
        <v>42405</v>
      </c>
    </row>
    <row r="700" spans="1:12">
      <c r="A700" s="5">
        <v>42408</v>
      </c>
      <c r="B700" s="3">
        <v>488.10000600000001</v>
      </c>
      <c r="C700" s="3">
        <v>104.784172</v>
      </c>
      <c r="D700" s="3">
        <v>372.63000499999998</v>
      </c>
      <c r="E700" s="3">
        <v>83.32</v>
      </c>
      <c r="F700" s="3">
        <f t="shared" si="60"/>
        <v>2016</v>
      </c>
      <c r="G700" s="3" t="str">
        <f t="shared" si="61"/>
        <v>Feb</v>
      </c>
      <c r="H700" s="3" t="str">
        <f t="shared" si="62"/>
        <v>Q1</v>
      </c>
      <c r="I700" s="3">
        <f t="shared" si="63"/>
        <v>-1.235402361375925E-2</v>
      </c>
      <c r="J700" s="3">
        <f t="shared" si="64"/>
        <v>7.2189624128631098E-3</v>
      </c>
      <c r="K700" s="3" t="str">
        <f t="shared" si="65"/>
        <v>Normal</v>
      </c>
      <c r="L700" s="4">
        <f>VALUE(A700)</f>
        <v>42408</v>
      </c>
    </row>
    <row r="701" spans="1:12">
      <c r="A701" s="5">
        <v>42409</v>
      </c>
      <c r="B701" s="3">
        <v>482.07000699999998</v>
      </c>
      <c r="C701" s="3">
        <v>102.323463</v>
      </c>
      <c r="D701" s="3">
        <v>375.32000699999998</v>
      </c>
      <c r="E701" s="3">
        <v>86.129997000000003</v>
      </c>
      <c r="F701" s="3">
        <f t="shared" si="60"/>
        <v>2016</v>
      </c>
      <c r="G701" s="3" t="str">
        <f t="shared" si="61"/>
        <v>Feb</v>
      </c>
      <c r="H701" s="3" t="str">
        <f t="shared" si="62"/>
        <v>Q1</v>
      </c>
      <c r="I701" s="3">
        <f t="shared" si="63"/>
        <v>1.7445607231067615E-2</v>
      </c>
      <c r="J701" s="3">
        <f t="shared" si="64"/>
        <v>1.7478412761513157E-2</v>
      </c>
      <c r="K701" s="3" t="str">
        <f t="shared" si="65"/>
        <v>Normal</v>
      </c>
      <c r="L701" s="4">
        <f>VALUE(A701)</f>
        <v>42409</v>
      </c>
    </row>
    <row r="702" spans="1:12">
      <c r="A702" s="5">
        <v>42410</v>
      </c>
      <c r="B702" s="3">
        <v>490.48001099999999</v>
      </c>
      <c r="C702" s="3">
        <v>103.66037799999999</v>
      </c>
      <c r="D702" s="3">
        <v>381.88000499999998</v>
      </c>
      <c r="E702" s="3">
        <v>88.449996999999996</v>
      </c>
      <c r="F702" s="3">
        <f t="shared" si="60"/>
        <v>2016</v>
      </c>
      <c r="G702" s="3" t="str">
        <f t="shared" si="61"/>
        <v>Feb</v>
      </c>
      <c r="H702" s="3" t="str">
        <f t="shared" si="62"/>
        <v>Q1</v>
      </c>
      <c r="I702" s="3">
        <f t="shared" si="63"/>
        <v>2.7197838241770845E-2</v>
      </c>
      <c r="J702" s="3">
        <f t="shared" si="64"/>
        <v>-6.3632370592431719E-3</v>
      </c>
      <c r="K702" s="3" t="str">
        <f t="shared" si="65"/>
        <v>Normal</v>
      </c>
      <c r="L702" s="4">
        <f>VALUE(A702)</f>
        <v>42410</v>
      </c>
    </row>
    <row r="703" spans="1:12">
      <c r="A703" s="5">
        <v>42411</v>
      </c>
      <c r="B703" s="3">
        <v>503.82000699999998</v>
      </c>
      <c r="C703" s="3">
        <v>103.563492</v>
      </c>
      <c r="D703" s="3">
        <v>379.45001200000002</v>
      </c>
      <c r="E703" s="3">
        <v>86.349997999999999</v>
      </c>
      <c r="F703" s="3">
        <f t="shared" si="60"/>
        <v>2016</v>
      </c>
      <c r="G703" s="3" t="str">
        <f t="shared" si="61"/>
        <v>Feb</v>
      </c>
      <c r="H703" s="3" t="str">
        <f t="shared" si="62"/>
        <v>Q1</v>
      </c>
      <c r="I703" s="3">
        <f t="shared" si="63"/>
        <v>6.4705250976665593E-3</v>
      </c>
      <c r="J703" s="3">
        <f t="shared" si="64"/>
        <v>1.2096447107241053E-2</v>
      </c>
      <c r="K703" s="3" t="str">
        <f t="shared" si="65"/>
        <v>Normal</v>
      </c>
      <c r="L703" s="4">
        <f>VALUE(A703)</f>
        <v>42411</v>
      </c>
    </row>
    <row r="704" spans="1:12">
      <c r="A704" s="5">
        <v>42412</v>
      </c>
      <c r="B704" s="3">
        <v>507.07998700000002</v>
      </c>
      <c r="C704" s="3">
        <v>106.08234400000001</v>
      </c>
      <c r="D704" s="3">
        <v>384.040009</v>
      </c>
      <c r="E704" s="3">
        <v>87.400002000000001</v>
      </c>
      <c r="F704" s="3">
        <f t="shared" si="60"/>
        <v>2016</v>
      </c>
      <c r="G704" s="3" t="str">
        <f t="shared" si="61"/>
        <v>Feb</v>
      </c>
      <c r="H704" s="3" t="str">
        <f t="shared" si="62"/>
        <v>Q1</v>
      </c>
      <c r="I704" s="3">
        <f t="shared" si="63"/>
        <v>2.7648476294529746E-2</v>
      </c>
      <c r="J704" s="3">
        <f t="shared" si="64"/>
        <v>5.8275188718683694E-2</v>
      </c>
      <c r="K704" s="3" t="str">
        <f t="shared" si="65"/>
        <v>High Volatility</v>
      </c>
      <c r="L704" s="4">
        <f>VALUE(A704)</f>
        <v>42412</v>
      </c>
    </row>
    <row r="705" spans="1:12">
      <c r="A705" s="5">
        <v>42416</v>
      </c>
      <c r="B705" s="3">
        <v>521.09997599999997</v>
      </c>
      <c r="C705" s="3">
        <v>107.613045</v>
      </c>
      <c r="D705" s="3">
        <v>406.42001299999998</v>
      </c>
      <c r="E705" s="3">
        <v>89.050003000000004</v>
      </c>
      <c r="F705" s="3">
        <f t="shared" si="60"/>
        <v>2016</v>
      </c>
      <c r="G705" s="3" t="str">
        <f t="shared" si="61"/>
        <v>Feb</v>
      </c>
      <c r="H705" s="3" t="str">
        <f t="shared" si="62"/>
        <v>Q1</v>
      </c>
      <c r="I705" s="3">
        <f t="shared" si="63"/>
        <v>2.4947228168745877E-2</v>
      </c>
      <c r="J705" s="3">
        <f t="shared" si="64"/>
        <v>2.6376658769508041E-2</v>
      </c>
      <c r="K705" s="3" t="str">
        <f t="shared" si="65"/>
        <v>Normal</v>
      </c>
      <c r="L705" s="4">
        <f>VALUE(A705)</f>
        <v>42416</v>
      </c>
    </row>
    <row r="706" spans="1:12">
      <c r="A706" s="5">
        <v>42417</v>
      </c>
      <c r="B706" s="3">
        <v>534.09997599999997</v>
      </c>
      <c r="C706" s="3">
        <v>109.424683</v>
      </c>
      <c r="D706" s="3">
        <v>417.14001500000001</v>
      </c>
      <c r="E706" s="3">
        <v>94.760002</v>
      </c>
      <c r="F706" s="3">
        <f t="shared" si="60"/>
        <v>2016</v>
      </c>
      <c r="G706" s="3" t="str">
        <f t="shared" si="61"/>
        <v>Feb</v>
      </c>
      <c r="H706" s="3" t="str">
        <f t="shared" si="62"/>
        <v>Q1</v>
      </c>
      <c r="I706" s="3">
        <f t="shared" si="63"/>
        <v>-1.7037963693898331E-2</v>
      </c>
      <c r="J706" s="3">
        <f t="shared" si="64"/>
        <v>1.0212348005021736E-2</v>
      </c>
      <c r="K706" s="3" t="str">
        <f t="shared" si="65"/>
        <v>Normal</v>
      </c>
      <c r="L706" s="4">
        <f>VALUE(A706)</f>
        <v>42417</v>
      </c>
    </row>
    <row r="707" spans="1:12">
      <c r="A707" s="5">
        <v>42418</v>
      </c>
      <c r="B707" s="3">
        <v>525</v>
      </c>
      <c r="C707" s="3">
        <v>108.543076</v>
      </c>
      <c r="D707" s="3">
        <v>421.39999399999999</v>
      </c>
      <c r="E707" s="3">
        <v>90.489998</v>
      </c>
      <c r="F707" s="3">
        <f t="shared" ref="F707:F770" si="66">YEAR(A707)</f>
        <v>2016</v>
      </c>
      <c r="G707" s="3" t="str">
        <f t="shared" ref="G707:G770" si="67">TEXT(A707,"MMM")</f>
        <v>Feb</v>
      </c>
      <c r="H707" s="3" t="str">
        <f t="shared" ref="H707:H770" si="68">"Q"&amp;ROUNDUP(MONTH(A707)/3,0)</f>
        <v>Q1</v>
      </c>
      <c r="I707" s="3">
        <f t="shared" ref="I707:I770" si="69">(B708-B707)/B707</f>
        <v>1.8857188571428631E-2</v>
      </c>
      <c r="J707" s="3">
        <f t="shared" ref="J707:J770" si="70">(D708-D707)/D707</f>
        <v>-3.3696796872759375E-3</v>
      </c>
      <c r="K707" s="3" t="str">
        <f t="shared" ref="K707:K770" si="71">IF(J707="","",IF(ABS(J707)&gt;0.05,"High Volatility","Normal"))</f>
        <v>Normal</v>
      </c>
      <c r="L707" s="4">
        <f>VALUE(A707)</f>
        <v>42418</v>
      </c>
    </row>
    <row r="708" spans="1:12">
      <c r="A708" s="5">
        <v>42419</v>
      </c>
      <c r="B708" s="3">
        <v>534.90002400000003</v>
      </c>
      <c r="C708" s="3">
        <v>109.347176</v>
      </c>
      <c r="D708" s="3">
        <v>419.98001099999999</v>
      </c>
      <c r="E708" s="3">
        <v>89.230002999999996</v>
      </c>
      <c r="F708" s="3">
        <f t="shared" si="66"/>
        <v>2016</v>
      </c>
      <c r="G708" s="3" t="str">
        <f t="shared" si="67"/>
        <v>Feb</v>
      </c>
      <c r="H708" s="3" t="str">
        <f t="shared" si="68"/>
        <v>Q1</v>
      </c>
      <c r="I708" s="3">
        <f t="shared" si="69"/>
        <v>4.5989857723393875E-2</v>
      </c>
      <c r="J708" s="3">
        <f t="shared" si="70"/>
        <v>4.2406775402460781E-2</v>
      </c>
      <c r="K708" s="3" t="str">
        <f t="shared" si="71"/>
        <v>Normal</v>
      </c>
      <c r="L708" s="4">
        <f>VALUE(A708)</f>
        <v>42419</v>
      </c>
    </row>
    <row r="709" spans="1:12">
      <c r="A709" s="5">
        <v>42422</v>
      </c>
      <c r="B709" s="3">
        <v>559.5</v>
      </c>
      <c r="C709" s="3">
        <v>111.49788700000001</v>
      </c>
      <c r="D709" s="3">
        <v>437.790009</v>
      </c>
      <c r="E709" s="3">
        <v>91.93</v>
      </c>
      <c r="F709" s="3">
        <f t="shared" si="66"/>
        <v>2016</v>
      </c>
      <c r="G709" s="3" t="str">
        <f t="shared" si="67"/>
        <v>Feb</v>
      </c>
      <c r="H709" s="3" t="str">
        <f t="shared" si="68"/>
        <v>Q1</v>
      </c>
      <c r="I709" s="3">
        <f t="shared" si="69"/>
        <v>-1.1724750670241198E-2</v>
      </c>
      <c r="J709" s="3">
        <f t="shared" si="70"/>
        <v>-4.0864374773797098E-2</v>
      </c>
      <c r="K709" s="3" t="str">
        <f t="shared" si="71"/>
        <v>Normal</v>
      </c>
      <c r="L709" s="4">
        <f>VALUE(A709)</f>
        <v>42422</v>
      </c>
    </row>
    <row r="710" spans="1:12">
      <c r="A710" s="5">
        <v>42423</v>
      </c>
      <c r="B710" s="3">
        <v>552.94000200000005</v>
      </c>
      <c r="C710" s="3">
        <v>113.948914</v>
      </c>
      <c r="D710" s="3">
        <v>419.89999399999999</v>
      </c>
      <c r="E710" s="3">
        <v>89.120002999999997</v>
      </c>
      <c r="F710" s="3">
        <f t="shared" si="66"/>
        <v>2016</v>
      </c>
      <c r="G710" s="3" t="str">
        <f t="shared" si="67"/>
        <v>Feb</v>
      </c>
      <c r="H710" s="3" t="str">
        <f t="shared" si="68"/>
        <v>Q1</v>
      </c>
      <c r="I710" s="3">
        <f t="shared" si="69"/>
        <v>1.9893225232779769E-3</v>
      </c>
      <c r="J710" s="3">
        <f t="shared" si="70"/>
        <v>6.7159015010608272E-3</v>
      </c>
      <c r="K710" s="3" t="str">
        <f t="shared" si="71"/>
        <v>Normal</v>
      </c>
      <c r="L710" s="4">
        <f>VALUE(A710)</f>
        <v>42423</v>
      </c>
    </row>
    <row r="711" spans="1:12">
      <c r="A711" s="5">
        <v>42424</v>
      </c>
      <c r="B711" s="3">
        <v>554.03997800000002</v>
      </c>
      <c r="C711" s="3">
        <v>113.93924</v>
      </c>
      <c r="D711" s="3">
        <v>422.72000100000002</v>
      </c>
      <c r="E711" s="3">
        <v>91.610000999999997</v>
      </c>
      <c r="F711" s="3">
        <f t="shared" si="66"/>
        <v>2016</v>
      </c>
      <c r="G711" s="3" t="str">
        <f t="shared" si="67"/>
        <v>Feb</v>
      </c>
      <c r="H711" s="3" t="str">
        <f t="shared" si="68"/>
        <v>Q1</v>
      </c>
      <c r="I711" s="3">
        <f t="shared" si="69"/>
        <v>2.0035485598117095E-3</v>
      </c>
      <c r="J711" s="3">
        <f t="shared" si="70"/>
        <v>1.7979040457088891E-3</v>
      </c>
      <c r="K711" s="3" t="str">
        <f t="shared" si="71"/>
        <v>Normal</v>
      </c>
      <c r="L711" s="4">
        <f>VALUE(A711)</f>
        <v>42424</v>
      </c>
    </row>
    <row r="712" spans="1:12">
      <c r="A712" s="5">
        <v>42425</v>
      </c>
      <c r="B712" s="3">
        <v>555.15002400000003</v>
      </c>
      <c r="C712" s="3">
        <v>128.752014</v>
      </c>
      <c r="D712" s="3">
        <v>423.48001099999999</v>
      </c>
      <c r="E712" s="3">
        <v>94.529999000000004</v>
      </c>
      <c r="F712" s="3">
        <f t="shared" si="66"/>
        <v>2016</v>
      </c>
      <c r="G712" s="3" t="str">
        <f t="shared" si="67"/>
        <v>Feb</v>
      </c>
      <c r="H712" s="3" t="str">
        <f t="shared" si="68"/>
        <v>Q1</v>
      </c>
      <c r="I712" s="3">
        <f t="shared" si="69"/>
        <v>1.4402593270882149E-4</v>
      </c>
      <c r="J712" s="3">
        <f t="shared" si="70"/>
        <v>9.0677148867836059E-3</v>
      </c>
      <c r="K712" s="3" t="str">
        <f t="shared" si="71"/>
        <v>Normal</v>
      </c>
      <c r="L712" s="4">
        <f>VALUE(A712)</f>
        <v>42425</v>
      </c>
    </row>
    <row r="713" spans="1:12">
      <c r="A713" s="5">
        <v>42426</v>
      </c>
      <c r="B713" s="3">
        <v>555.22997999999995</v>
      </c>
      <c r="C713" s="3">
        <v>130.195526</v>
      </c>
      <c r="D713" s="3">
        <v>427.32000699999998</v>
      </c>
      <c r="E713" s="3">
        <v>94.790001000000004</v>
      </c>
      <c r="F713" s="3">
        <f t="shared" si="66"/>
        <v>2016</v>
      </c>
      <c r="G713" s="3" t="str">
        <f t="shared" si="67"/>
        <v>Feb</v>
      </c>
      <c r="H713" s="3" t="str">
        <f t="shared" si="68"/>
        <v>Q1</v>
      </c>
      <c r="I713" s="3">
        <f t="shared" si="69"/>
        <v>-4.8807883176623683E-3</v>
      </c>
      <c r="J713" s="3">
        <f t="shared" si="70"/>
        <v>2.0804043467124691E-2</v>
      </c>
      <c r="K713" s="3" t="str">
        <f t="shared" si="71"/>
        <v>Normal</v>
      </c>
      <c r="L713" s="4">
        <f>VALUE(A713)</f>
        <v>42426</v>
      </c>
    </row>
    <row r="714" spans="1:12">
      <c r="A714" s="5">
        <v>42429</v>
      </c>
      <c r="B714" s="3">
        <v>552.52002000000005</v>
      </c>
      <c r="C714" s="3">
        <v>128.887619</v>
      </c>
      <c r="D714" s="3">
        <v>436.209991</v>
      </c>
      <c r="E714" s="3">
        <v>93.410004000000001</v>
      </c>
      <c r="F714" s="3">
        <f t="shared" si="66"/>
        <v>2016</v>
      </c>
      <c r="G714" s="3" t="str">
        <f t="shared" si="67"/>
        <v>Feb</v>
      </c>
      <c r="H714" s="3" t="str">
        <f t="shared" si="68"/>
        <v>Q1</v>
      </c>
      <c r="I714" s="3">
        <f t="shared" si="69"/>
        <v>4.7998184753558742E-2</v>
      </c>
      <c r="J714" s="3">
        <f t="shared" si="70"/>
        <v>-4.9746270025254977E-3</v>
      </c>
      <c r="K714" s="3" t="str">
        <f t="shared" si="71"/>
        <v>Normal</v>
      </c>
      <c r="L714" s="4">
        <f>VALUE(A714)</f>
        <v>42429</v>
      </c>
    </row>
    <row r="715" spans="1:12">
      <c r="A715" s="5">
        <v>42430</v>
      </c>
      <c r="B715" s="3">
        <v>579.03997800000002</v>
      </c>
      <c r="C715" s="3">
        <v>129.96298200000001</v>
      </c>
      <c r="D715" s="3">
        <v>434.040009</v>
      </c>
      <c r="E715" s="3">
        <v>98.300003000000004</v>
      </c>
      <c r="F715" s="3">
        <f t="shared" si="66"/>
        <v>2016</v>
      </c>
      <c r="G715" s="3" t="str">
        <f t="shared" si="67"/>
        <v>Mar</v>
      </c>
      <c r="H715" s="3" t="str">
        <f t="shared" si="68"/>
        <v>Q1</v>
      </c>
      <c r="I715" s="3">
        <f t="shared" si="69"/>
        <v>2.020661861796288E-3</v>
      </c>
      <c r="J715" s="3">
        <f t="shared" si="70"/>
        <v>-1.9998211731674726E-2</v>
      </c>
      <c r="K715" s="3" t="str">
        <f t="shared" si="71"/>
        <v>Normal</v>
      </c>
      <c r="L715" s="4">
        <f>VALUE(A715)</f>
        <v>42430</v>
      </c>
    </row>
    <row r="716" spans="1:12">
      <c r="A716" s="5">
        <v>42431</v>
      </c>
      <c r="B716" s="3">
        <v>580.21002199999998</v>
      </c>
      <c r="C716" s="3">
        <v>128.907028</v>
      </c>
      <c r="D716" s="3">
        <v>425.35998499999999</v>
      </c>
      <c r="E716" s="3">
        <v>97.610000999999997</v>
      </c>
      <c r="F716" s="3">
        <f t="shared" si="66"/>
        <v>2016</v>
      </c>
      <c r="G716" s="3" t="str">
        <f t="shared" si="67"/>
        <v>Mar</v>
      </c>
      <c r="H716" s="3" t="str">
        <f t="shared" si="68"/>
        <v>Q1</v>
      </c>
      <c r="I716" s="3">
        <f t="shared" si="69"/>
        <v>-4.688012783067623E-3</v>
      </c>
      <c r="J716" s="3">
        <f t="shared" si="70"/>
        <v>-1.3635478664030861E-2</v>
      </c>
      <c r="K716" s="3" t="str">
        <f t="shared" si="71"/>
        <v>Normal</v>
      </c>
      <c r="L716" s="4">
        <f>VALUE(A716)</f>
        <v>42431</v>
      </c>
    </row>
    <row r="717" spans="1:12">
      <c r="A717" s="5">
        <v>42432</v>
      </c>
      <c r="B717" s="3">
        <v>577.48999000000003</v>
      </c>
      <c r="C717" s="3">
        <v>128.69390899999999</v>
      </c>
      <c r="D717" s="3">
        <v>419.55999800000001</v>
      </c>
      <c r="E717" s="3">
        <v>97.93</v>
      </c>
      <c r="F717" s="3">
        <f t="shared" si="66"/>
        <v>2016</v>
      </c>
      <c r="G717" s="3" t="str">
        <f t="shared" si="67"/>
        <v>Mar</v>
      </c>
      <c r="H717" s="3" t="str">
        <f t="shared" si="68"/>
        <v>Q1</v>
      </c>
      <c r="I717" s="3">
        <f t="shared" si="69"/>
        <v>-4.0692913136036969E-3</v>
      </c>
      <c r="J717" s="3">
        <f t="shared" si="70"/>
        <v>-2.4025138354586455E-2</v>
      </c>
      <c r="K717" s="3" t="str">
        <f t="shared" si="71"/>
        <v>Normal</v>
      </c>
      <c r="L717" s="4">
        <f>VALUE(A717)</f>
        <v>42432</v>
      </c>
    </row>
    <row r="718" spans="1:12">
      <c r="A718" s="5">
        <v>42433</v>
      </c>
      <c r="B718" s="3">
        <v>575.14001499999995</v>
      </c>
      <c r="C718" s="3">
        <v>128.839203</v>
      </c>
      <c r="D718" s="3">
        <v>409.48001099999999</v>
      </c>
      <c r="E718" s="3">
        <v>101.58000199999999</v>
      </c>
      <c r="F718" s="3">
        <f t="shared" si="66"/>
        <v>2016</v>
      </c>
      <c r="G718" s="3" t="str">
        <f t="shared" si="67"/>
        <v>Mar</v>
      </c>
      <c r="H718" s="3" t="str">
        <f t="shared" si="68"/>
        <v>Q1</v>
      </c>
      <c r="I718" s="3">
        <f t="shared" si="69"/>
        <v>-2.1455691967459375E-2</v>
      </c>
      <c r="J718" s="3">
        <f t="shared" si="70"/>
        <v>1.3162996618167101E-2</v>
      </c>
      <c r="K718" s="3" t="str">
        <f t="shared" si="71"/>
        <v>Normal</v>
      </c>
      <c r="L718" s="4">
        <f>VALUE(A718)</f>
        <v>42433</v>
      </c>
    </row>
    <row r="719" spans="1:12">
      <c r="A719" s="5">
        <v>42436</v>
      </c>
      <c r="B719" s="3">
        <v>562.79998799999998</v>
      </c>
      <c r="C719" s="3">
        <v>129.83706699999999</v>
      </c>
      <c r="D719" s="3">
        <v>414.86999500000002</v>
      </c>
      <c r="E719" s="3">
        <v>95.489998</v>
      </c>
      <c r="F719" s="3">
        <f t="shared" si="66"/>
        <v>2016</v>
      </c>
      <c r="G719" s="3" t="str">
        <f t="shared" si="67"/>
        <v>Mar</v>
      </c>
      <c r="H719" s="3" t="str">
        <f t="shared" si="68"/>
        <v>Q1</v>
      </c>
      <c r="I719" s="3">
        <f t="shared" si="69"/>
        <v>-4.5131095489647013E-3</v>
      </c>
      <c r="J719" s="3">
        <f t="shared" si="70"/>
        <v>-7.1588715399869413E-3</v>
      </c>
      <c r="K719" s="3" t="str">
        <f t="shared" si="71"/>
        <v>Normal</v>
      </c>
      <c r="L719" s="4">
        <f>VALUE(A719)</f>
        <v>42436</v>
      </c>
    </row>
    <row r="720" spans="1:12">
      <c r="A720" s="5">
        <v>42437</v>
      </c>
      <c r="B720" s="3">
        <v>560.26000999999997</v>
      </c>
      <c r="C720" s="3">
        <v>130.05020099999999</v>
      </c>
      <c r="D720" s="3">
        <v>411.89999399999999</v>
      </c>
      <c r="E720" s="3">
        <v>96.230002999999996</v>
      </c>
      <c r="F720" s="3">
        <f t="shared" si="66"/>
        <v>2016</v>
      </c>
      <c r="G720" s="3" t="str">
        <f t="shared" si="67"/>
        <v>Mar</v>
      </c>
      <c r="H720" s="3" t="str">
        <f t="shared" si="68"/>
        <v>Q1</v>
      </c>
      <c r="I720" s="3">
        <f t="shared" si="69"/>
        <v>-1.4101292005474009E-3</v>
      </c>
      <c r="J720" s="3">
        <f t="shared" si="70"/>
        <v>2.0879242838736972E-3</v>
      </c>
      <c r="K720" s="3" t="str">
        <f t="shared" si="71"/>
        <v>Normal</v>
      </c>
      <c r="L720" s="4">
        <f>VALUE(A720)</f>
        <v>42437</v>
      </c>
    </row>
    <row r="721" spans="1:12">
      <c r="A721" s="5">
        <v>42438</v>
      </c>
      <c r="B721" s="3">
        <v>559.46997099999999</v>
      </c>
      <c r="C721" s="3">
        <v>129.60455300000001</v>
      </c>
      <c r="D721" s="3">
        <v>412.76001000000002</v>
      </c>
      <c r="E721" s="3">
        <v>98</v>
      </c>
      <c r="F721" s="3">
        <f t="shared" si="66"/>
        <v>2016</v>
      </c>
      <c r="G721" s="3" t="str">
        <f t="shared" si="67"/>
        <v>Mar</v>
      </c>
      <c r="H721" s="3" t="str">
        <f t="shared" si="68"/>
        <v>Q1</v>
      </c>
      <c r="I721" s="3">
        <f t="shared" si="69"/>
        <v>-9.6515993349001244E-4</v>
      </c>
      <c r="J721" s="3">
        <f t="shared" si="70"/>
        <v>7.4376803121019262E-3</v>
      </c>
      <c r="K721" s="3" t="str">
        <f t="shared" si="71"/>
        <v>Normal</v>
      </c>
      <c r="L721" s="4">
        <f>VALUE(A721)</f>
        <v>42438</v>
      </c>
    </row>
    <row r="722" spans="1:12">
      <c r="A722" s="5">
        <v>42439</v>
      </c>
      <c r="B722" s="3">
        <v>558.92999299999997</v>
      </c>
      <c r="C722" s="3">
        <v>128.85858200000001</v>
      </c>
      <c r="D722" s="3">
        <v>415.82998700000002</v>
      </c>
      <c r="E722" s="3">
        <v>97.360000999999997</v>
      </c>
      <c r="F722" s="3">
        <f t="shared" si="66"/>
        <v>2016</v>
      </c>
      <c r="G722" s="3" t="str">
        <f t="shared" si="67"/>
        <v>Mar</v>
      </c>
      <c r="H722" s="3" t="str">
        <f t="shared" si="68"/>
        <v>Q1</v>
      </c>
      <c r="I722" s="3">
        <f t="shared" si="69"/>
        <v>1.9107924308510108E-2</v>
      </c>
      <c r="J722" s="3">
        <f t="shared" si="70"/>
        <v>7.8878342172085288E-3</v>
      </c>
      <c r="K722" s="3" t="str">
        <f t="shared" si="71"/>
        <v>Normal</v>
      </c>
      <c r="L722" s="4">
        <f>VALUE(A722)</f>
        <v>42439</v>
      </c>
    </row>
    <row r="723" spans="1:12">
      <c r="A723" s="5">
        <v>42440</v>
      </c>
      <c r="B723" s="3">
        <v>569.60998500000005</v>
      </c>
      <c r="C723" s="3">
        <v>127.97444900000001</v>
      </c>
      <c r="D723" s="3">
        <v>419.10998499999999</v>
      </c>
      <c r="E723" s="3">
        <v>97.660004000000001</v>
      </c>
      <c r="F723" s="3">
        <f t="shared" si="66"/>
        <v>2016</v>
      </c>
      <c r="G723" s="3" t="str">
        <f t="shared" si="67"/>
        <v>Mar</v>
      </c>
      <c r="H723" s="3" t="str">
        <f t="shared" si="68"/>
        <v>Q1</v>
      </c>
      <c r="I723" s="3">
        <f t="shared" si="69"/>
        <v>6.6010254367292482E-3</v>
      </c>
      <c r="J723" s="3">
        <f t="shared" si="70"/>
        <v>-1.1452809934843208E-2</v>
      </c>
      <c r="K723" s="3" t="str">
        <f t="shared" si="71"/>
        <v>Normal</v>
      </c>
      <c r="L723" s="4">
        <f>VALUE(A723)</f>
        <v>42440</v>
      </c>
    </row>
    <row r="724" spans="1:12">
      <c r="A724" s="5">
        <v>42443</v>
      </c>
      <c r="B724" s="3">
        <v>573.36999500000002</v>
      </c>
      <c r="C724" s="3">
        <v>128.87802099999999</v>
      </c>
      <c r="D724" s="3">
        <v>414.30999800000001</v>
      </c>
      <c r="E724" s="3">
        <v>98.129997000000003</v>
      </c>
      <c r="F724" s="3">
        <f t="shared" si="66"/>
        <v>2016</v>
      </c>
      <c r="G724" s="3" t="str">
        <f t="shared" si="67"/>
        <v>Mar</v>
      </c>
      <c r="H724" s="3" t="str">
        <f t="shared" si="68"/>
        <v>Q1</v>
      </c>
      <c r="I724" s="3">
        <f t="shared" si="69"/>
        <v>6.3659156074255818E-3</v>
      </c>
      <c r="J724" s="3">
        <f t="shared" si="70"/>
        <v>1.9792112282068933E-3</v>
      </c>
      <c r="K724" s="3" t="str">
        <f t="shared" si="71"/>
        <v>Normal</v>
      </c>
      <c r="L724" s="4">
        <f>VALUE(A724)</f>
        <v>42443</v>
      </c>
    </row>
    <row r="725" spans="1:12">
      <c r="A725" s="5">
        <v>42444</v>
      </c>
      <c r="B725" s="3">
        <v>577.02002000000005</v>
      </c>
      <c r="C725" s="3">
        <v>127.46925400000001</v>
      </c>
      <c r="D725" s="3">
        <v>415.13000499999998</v>
      </c>
      <c r="E725" s="3">
        <v>97.860000999999997</v>
      </c>
      <c r="F725" s="3">
        <f t="shared" si="66"/>
        <v>2016</v>
      </c>
      <c r="G725" s="3" t="str">
        <f t="shared" si="67"/>
        <v>Mar</v>
      </c>
      <c r="H725" s="3" t="str">
        <f t="shared" si="68"/>
        <v>Q1</v>
      </c>
      <c r="I725" s="3">
        <f t="shared" si="69"/>
        <v>-4.7658658359895373E-3</v>
      </c>
      <c r="J725" s="3">
        <f t="shared" si="70"/>
        <v>1.878927060451899E-3</v>
      </c>
      <c r="K725" s="3" t="str">
        <f t="shared" si="71"/>
        <v>Normal</v>
      </c>
      <c r="L725" s="4">
        <f>VALUE(A725)</f>
        <v>42444</v>
      </c>
    </row>
    <row r="726" spans="1:12">
      <c r="A726" s="5">
        <v>42445</v>
      </c>
      <c r="B726" s="3">
        <v>574.27002000000005</v>
      </c>
      <c r="C726" s="3">
        <v>128.10076900000001</v>
      </c>
      <c r="D726" s="3">
        <v>415.91000400000001</v>
      </c>
      <c r="E726" s="3">
        <v>99.349997999999999</v>
      </c>
      <c r="F726" s="3">
        <f t="shared" si="66"/>
        <v>2016</v>
      </c>
      <c r="G726" s="3" t="str">
        <f t="shared" si="67"/>
        <v>Mar</v>
      </c>
      <c r="H726" s="3" t="str">
        <f t="shared" si="68"/>
        <v>Q1</v>
      </c>
      <c r="I726" s="3">
        <f t="shared" si="69"/>
        <v>-2.5824120158666815E-2</v>
      </c>
      <c r="J726" s="3">
        <f t="shared" si="70"/>
        <v>5.4098241887925351E-3</v>
      </c>
      <c r="K726" s="3" t="str">
        <f t="shared" si="71"/>
        <v>Normal</v>
      </c>
      <c r="L726" s="4">
        <f>VALUE(A726)</f>
        <v>42445</v>
      </c>
    </row>
    <row r="727" spans="1:12">
      <c r="A727" s="5">
        <v>42446</v>
      </c>
      <c r="B727" s="3">
        <v>559.44000200000005</v>
      </c>
      <c r="C727" s="3">
        <v>127.53723100000001</v>
      </c>
      <c r="D727" s="3">
        <v>418.16000400000001</v>
      </c>
      <c r="E727" s="3">
        <v>99.720000999999996</v>
      </c>
      <c r="F727" s="3">
        <f t="shared" si="66"/>
        <v>2016</v>
      </c>
      <c r="G727" s="3" t="str">
        <f t="shared" si="67"/>
        <v>Mar</v>
      </c>
      <c r="H727" s="3" t="str">
        <f t="shared" si="68"/>
        <v>Q1</v>
      </c>
      <c r="I727" s="3">
        <f t="shared" si="69"/>
        <v>-1.3155986296453736E-2</v>
      </c>
      <c r="J727" s="3">
        <f t="shared" si="70"/>
        <v>-2.3914290951652085E-2</v>
      </c>
      <c r="K727" s="3" t="str">
        <f t="shared" si="71"/>
        <v>Normal</v>
      </c>
      <c r="L727" s="4">
        <f>VALUE(A727)</f>
        <v>42446</v>
      </c>
    </row>
    <row r="728" spans="1:12">
      <c r="A728" s="5">
        <v>42447</v>
      </c>
      <c r="B728" s="3">
        <v>552.080017</v>
      </c>
      <c r="C728" s="3">
        <v>127.090317</v>
      </c>
      <c r="D728" s="3">
        <v>408.16000400000001</v>
      </c>
      <c r="E728" s="3">
        <v>101.120003</v>
      </c>
      <c r="F728" s="3">
        <f t="shared" si="66"/>
        <v>2016</v>
      </c>
      <c r="G728" s="3" t="str">
        <f t="shared" si="67"/>
        <v>Mar</v>
      </c>
      <c r="H728" s="3" t="str">
        <f t="shared" si="68"/>
        <v>Q1</v>
      </c>
      <c r="I728" s="3">
        <f t="shared" si="69"/>
        <v>3.4414630877682303E-3</v>
      </c>
      <c r="J728" s="3">
        <f t="shared" si="70"/>
        <v>7.2275111992599348E-3</v>
      </c>
      <c r="K728" s="3" t="str">
        <f t="shared" si="71"/>
        <v>Normal</v>
      </c>
      <c r="L728" s="4">
        <f>VALUE(A728)</f>
        <v>42447</v>
      </c>
    </row>
    <row r="729" spans="1:12">
      <c r="A729" s="5">
        <v>42450</v>
      </c>
      <c r="B729" s="3">
        <v>553.97997999999995</v>
      </c>
      <c r="C729" s="3">
        <v>127.440117</v>
      </c>
      <c r="D729" s="3">
        <v>411.10998499999999</v>
      </c>
      <c r="E729" s="3">
        <v>101.05999799999999</v>
      </c>
      <c r="F729" s="3">
        <f t="shared" si="66"/>
        <v>2016</v>
      </c>
      <c r="G729" s="3" t="str">
        <f t="shared" si="67"/>
        <v>Mar</v>
      </c>
      <c r="H729" s="3" t="str">
        <f t="shared" si="68"/>
        <v>Q1</v>
      </c>
      <c r="I729" s="3">
        <f t="shared" si="69"/>
        <v>1.173327599311441E-2</v>
      </c>
      <c r="J729" s="3">
        <f t="shared" si="70"/>
        <v>1.240545398088545E-2</v>
      </c>
      <c r="K729" s="3" t="str">
        <f t="shared" si="71"/>
        <v>Normal</v>
      </c>
      <c r="L729" s="4">
        <f>VALUE(A729)</f>
        <v>42450</v>
      </c>
    </row>
    <row r="730" spans="1:12">
      <c r="A730" s="5">
        <v>42451</v>
      </c>
      <c r="B730" s="3">
        <v>560.47997999999995</v>
      </c>
      <c r="C730" s="3">
        <v>127.01256600000001</v>
      </c>
      <c r="D730" s="3">
        <v>416.209991</v>
      </c>
      <c r="E730" s="3">
        <v>99.839995999999999</v>
      </c>
      <c r="F730" s="3">
        <f t="shared" si="66"/>
        <v>2016</v>
      </c>
      <c r="G730" s="3" t="str">
        <f t="shared" si="67"/>
        <v>Mar</v>
      </c>
      <c r="H730" s="3" t="str">
        <f t="shared" si="68"/>
        <v>Q1</v>
      </c>
      <c r="I730" s="3">
        <f t="shared" si="69"/>
        <v>1.6325337793510534E-2</v>
      </c>
      <c r="J730" s="3">
        <f t="shared" si="70"/>
        <v>1.8500757229539648E-3</v>
      </c>
      <c r="K730" s="3" t="str">
        <f t="shared" si="71"/>
        <v>Normal</v>
      </c>
      <c r="L730" s="4">
        <f>VALUE(A730)</f>
        <v>42451</v>
      </c>
    </row>
    <row r="731" spans="1:12">
      <c r="A731" s="5">
        <v>42452</v>
      </c>
      <c r="B731" s="3">
        <v>569.63000499999998</v>
      </c>
      <c r="C731" s="3">
        <v>126.41996</v>
      </c>
      <c r="D731" s="3">
        <v>416.98001099999999</v>
      </c>
      <c r="E731" s="3">
        <v>99.589995999999999</v>
      </c>
      <c r="F731" s="3">
        <f t="shared" si="66"/>
        <v>2016</v>
      </c>
      <c r="G731" s="3" t="str">
        <f t="shared" si="67"/>
        <v>Mar</v>
      </c>
      <c r="H731" s="3" t="str">
        <f t="shared" si="68"/>
        <v>Q1</v>
      </c>
      <c r="I731" s="3">
        <f t="shared" si="69"/>
        <v>2.33836119640503E-2</v>
      </c>
      <c r="J731" s="3">
        <f t="shared" si="70"/>
        <v>-5.3720105062782329E-3</v>
      </c>
      <c r="K731" s="3" t="str">
        <f t="shared" si="71"/>
        <v>Normal</v>
      </c>
      <c r="L731" s="4">
        <f>VALUE(A731)</f>
        <v>42452</v>
      </c>
    </row>
    <row r="732" spans="1:12">
      <c r="A732" s="5">
        <v>42453</v>
      </c>
      <c r="B732" s="3">
        <v>582.95001200000002</v>
      </c>
      <c r="C732" s="3">
        <v>125.079201</v>
      </c>
      <c r="D732" s="3">
        <v>414.73998999999998</v>
      </c>
      <c r="E732" s="3">
        <v>98.360000999999997</v>
      </c>
      <c r="F732" s="3">
        <f t="shared" si="66"/>
        <v>2016</v>
      </c>
      <c r="G732" s="3" t="str">
        <f t="shared" si="67"/>
        <v>Mar</v>
      </c>
      <c r="H732" s="3" t="str">
        <f t="shared" si="68"/>
        <v>Q1</v>
      </c>
      <c r="I732" s="3">
        <f t="shared" si="69"/>
        <v>-5.2835010491431257E-3</v>
      </c>
      <c r="J732" s="3">
        <f t="shared" si="70"/>
        <v>6.269229065661657E-4</v>
      </c>
      <c r="K732" s="3" t="str">
        <f t="shared" si="71"/>
        <v>Normal</v>
      </c>
      <c r="L732" s="4">
        <f>VALUE(A732)</f>
        <v>42453</v>
      </c>
    </row>
    <row r="733" spans="1:12">
      <c r="A733" s="5">
        <v>42457</v>
      </c>
      <c r="B733" s="3">
        <v>579.86999500000002</v>
      </c>
      <c r="C733" s="3">
        <v>125.47751599999999</v>
      </c>
      <c r="D733" s="3">
        <v>415</v>
      </c>
      <c r="E733" s="3">
        <v>101.209999</v>
      </c>
      <c r="F733" s="3">
        <f t="shared" si="66"/>
        <v>2016</v>
      </c>
      <c r="G733" s="3" t="str">
        <f t="shared" si="67"/>
        <v>Mar</v>
      </c>
      <c r="H733" s="3" t="str">
        <f t="shared" si="68"/>
        <v>Q1</v>
      </c>
      <c r="I733" s="3">
        <f t="shared" si="69"/>
        <v>2.4126080191474702E-2</v>
      </c>
      <c r="J733" s="3">
        <f t="shared" si="70"/>
        <v>-6.1686698795180902E-3</v>
      </c>
      <c r="K733" s="3" t="str">
        <f t="shared" si="71"/>
        <v>Normal</v>
      </c>
      <c r="L733" s="4">
        <f>VALUE(A733)</f>
        <v>42457</v>
      </c>
    </row>
    <row r="734" spans="1:12">
      <c r="A734" s="5">
        <v>42458</v>
      </c>
      <c r="B734" s="3">
        <v>593.85998500000005</v>
      </c>
      <c r="C734" s="3">
        <v>126.390793</v>
      </c>
      <c r="D734" s="3">
        <v>412.44000199999999</v>
      </c>
      <c r="E734" s="3">
        <v>104.129997</v>
      </c>
      <c r="F734" s="3">
        <f t="shared" si="66"/>
        <v>2016</v>
      </c>
      <c r="G734" s="3" t="str">
        <f t="shared" si="67"/>
        <v>Mar</v>
      </c>
      <c r="H734" s="3" t="str">
        <f t="shared" si="68"/>
        <v>Q1</v>
      </c>
      <c r="I734" s="3">
        <f t="shared" si="69"/>
        <v>8.1332588859308261E-3</v>
      </c>
      <c r="J734" s="3">
        <f t="shared" si="70"/>
        <v>7.8072010095665313E-3</v>
      </c>
      <c r="K734" s="3" t="str">
        <f t="shared" si="71"/>
        <v>Normal</v>
      </c>
      <c r="L734" s="4">
        <f>VALUE(A734)</f>
        <v>42458</v>
      </c>
    </row>
    <row r="735" spans="1:12">
      <c r="A735" s="5">
        <v>42459</v>
      </c>
      <c r="B735" s="3">
        <v>598.69000200000005</v>
      </c>
      <c r="C735" s="3">
        <v>127.245789</v>
      </c>
      <c r="D735" s="3">
        <v>415.66000400000001</v>
      </c>
      <c r="E735" s="3">
        <v>102.19000200000001</v>
      </c>
      <c r="F735" s="3">
        <f t="shared" si="66"/>
        <v>2016</v>
      </c>
      <c r="G735" s="3" t="str">
        <f t="shared" si="67"/>
        <v>Mar</v>
      </c>
      <c r="H735" s="3" t="str">
        <f t="shared" si="68"/>
        <v>Q1</v>
      </c>
      <c r="I735" s="3">
        <f t="shared" si="69"/>
        <v>-8.4350615228749055E-3</v>
      </c>
      <c r="J735" s="3">
        <f t="shared" si="70"/>
        <v>-4.8089784457610652E-5</v>
      </c>
      <c r="K735" s="3" t="str">
        <f t="shared" si="71"/>
        <v>Normal</v>
      </c>
      <c r="L735" s="4">
        <f>VALUE(A735)</f>
        <v>42459</v>
      </c>
    </row>
    <row r="736" spans="1:12">
      <c r="A736" s="5">
        <v>42460</v>
      </c>
      <c r="B736" s="3">
        <v>593.64001499999995</v>
      </c>
      <c r="C736" s="3">
        <v>128.11047400000001</v>
      </c>
      <c r="D736" s="3">
        <v>415.64001500000001</v>
      </c>
      <c r="E736" s="3">
        <v>102.230003</v>
      </c>
      <c r="F736" s="3">
        <f t="shared" si="66"/>
        <v>2016</v>
      </c>
      <c r="G736" s="3" t="str">
        <f t="shared" si="67"/>
        <v>Mar</v>
      </c>
      <c r="H736" s="3" t="str">
        <f t="shared" si="68"/>
        <v>Q1</v>
      </c>
      <c r="I736" s="3">
        <f t="shared" si="69"/>
        <v>8.1867543918852093E-3</v>
      </c>
      <c r="J736" s="3">
        <f t="shared" si="70"/>
        <v>6.9050016755485321E-3</v>
      </c>
      <c r="K736" s="3" t="str">
        <f t="shared" si="71"/>
        <v>Normal</v>
      </c>
      <c r="L736" s="4">
        <f>VALUE(A736)</f>
        <v>42460</v>
      </c>
    </row>
    <row r="737" spans="1:12">
      <c r="A737" s="5">
        <v>42461</v>
      </c>
      <c r="B737" s="3">
        <v>598.5</v>
      </c>
      <c r="C737" s="3">
        <v>129.67469800000001</v>
      </c>
      <c r="D737" s="3">
        <v>418.51001000000002</v>
      </c>
      <c r="E737" s="3">
        <v>105.699997</v>
      </c>
      <c r="F737" s="3">
        <f t="shared" si="66"/>
        <v>2016</v>
      </c>
      <c r="G737" s="3" t="str">
        <f t="shared" si="67"/>
        <v>Apr</v>
      </c>
      <c r="H737" s="3" t="str">
        <f t="shared" si="68"/>
        <v>Q2</v>
      </c>
      <c r="I737" s="3">
        <f t="shared" si="69"/>
        <v>-8.8721771094401845E-3</v>
      </c>
      <c r="J737" s="3">
        <f t="shared" si="70"/>
        <v>8.5063604571846505E-3</v>
      </c>
      <c r="K737" s="3" t="str">
        <f t="shared" si="71"/>
        <v>Normal</v>
      </c>
      <c r="L737" s="4">
        <f>VALUE(A737)</f>
        <v>42461</v>
      </c>
    </row>
    <row r="738" spans="1:12">
      <c r="A738" s="5">
        <v>42464</v>
      </c>
      <c r="B738" s="3">
        <v>593.19000200000005</v>
      </c>
      <c r="C738" s="3">
        <v>129.567825</v>
      </c>
      <c r="D738" s="3">
        <v>422.07000699999998</v>
      </c>
      <c r="E738" s="3">
        <v>104.349998</v>
      </c>
      <c r="F738" s="3">
        <f t="shared" si="66"/>
        <v>2016</v>
      </c>
      <c r="G738" s="3" t="str">
        <f t="shared" si="67"/>
        <v>Apr</v>
      </c>
      <c r="H738" s="3" t="str">
        <f t="shared" si="68"/>
        <v>Q2</v>
      </c>
      <c r="I738" s="3">
        <f t="shared" si="69"/>
        <v>-1.1884871586220869E-2</v>
      </c>
      <c r="J738" s="3">
        <f t="shared" si="70"/>
        <v>-1.9191058036965726E-3</v>
      </c>
      <c r="K738" s="3" t="str">
        <f t="shared" si="71"/>
        <v>Normal</v>
      </c>
      <c r="L738" s="4">
        <f>VALUE(A738)</f>
        <v>42464</v>
      </c>
    </row>
    <row r="739" spans="1:12">
      <c r="A739" s="5">
        <v>42465</v>
      </c>
      <c r="B739" s="3">
        <v>586.14001499999995</v>
      </c>
      <c r="C739" s="3">
        <v>128.55740399999999</v>
      </c>
      <c r="D739" s="3">
        <v>421.26001000000002</v>
      </c>
      <c r="E739" s="3">
        <v>104.94000200000001</v>
      </c>
      <c r="F739" s="3">
        <f t="shared" si="66"/>
        <v>2016</v>
      </c>
      <c r="G739" s="3" t="str">
        <f t="shared" si="67"/>
        <v>Apr</v>
      </c>
      <c r="H739" s="3" t="str">
        <f t="shared" si="68"/>
        <v>Q2</v>
      </c>
      <c r="I739" s="3">
        <f t="shared" si="69"/>
        <v>2.7194870836450315E-2</v>
      </c>
      <c r="J739" s="3">
        <f t="shared" si="70"/>
        <v>-2.6586786626150846E-3</v>
      </c>
      <c r="K739" s="3" t="str">
        <f t="shared" si="71"/>
        <v>Normal</v>
      </c>
      <c r="L739" s="4">
        <f>VALUE(A739)</f>
        <v>42465</v>
      </c>
    </row>
    <row r="740" spans="1:12">
      <c r="A740" s="5">
        <v>42466</v>
      </c>
      <c r="B740" s="3">
        <v>602.080017</v>
      </c>
      <c r="C740" s="3">
        <v>132.07444799999999</v>
      </c>
      <c r="D740" s="3">
        <v>420.14001500000001</v>
      </c>
      <c r="E740" s="3">
        <v>104.83000199999999</v>
      </c>
      <c r="F740" s="3">
        <f t="shared" si="66"/>
        <v>2016</v>
      </c>
      <c r="G740" s="3" t="str">
        <f t="shared" si="67"/>
        <v>Apr</v>
      </c>
      <c r="H740" s="3" t="str">
        <f t="shared" si="68"/>
        <v>Q2</v>
      </c>
      <c r="I740" s="3">
        <f t="shared" si="69"/>
        <v>-1.7688718607646516E-2</v>
      </c>
      <c r="J740" s="3">
        <f t="shared" si="70"/>
        <v>-5.8314202706924089E-3</v>
      </c>
      <c r="K740" s="3" t="str">
        <f t="shared" si="71"/>
        <v>Normal</v>
      </c>
      <c r="L740" s="4">
        <f>VALUE(A740)</f>
        <v>42466</v>
      </c>
    </row>
    <row r="741" spans="1:12">
      <c r="A741" s="5">
        <v>42467</v>
      </c>
      <c r="B741" s="3">
        <v>591.42999299999997</v>
      </c>
      <c r="C741" s="3">
        <v>132.38536099999999</v>
      </c>
      <c r="D741" s="3">
        <v>417.69000199999999</v>
      </c>
      <c r="E741" s="3">
        <v>104.449997</v>
      </c>
      <c r="F741" s="3">
        <f t="shared" si="66"/>
        <v>2016</v>
      </c>
      <c r="G741" s="3" t="str">
        <f t="shared" si="67"/>
        <v>Apr</v>
      </c>
      <c r="H741" s="3" t="str">
        <f t="shared" si="68"/>
        <v>Q2</v>
      </c>
      <c r="I741" s="3">
        <f t="shared" si="69"/>
        <v>5.3598617545931627E-3</v>
      </c>
      <c r="J741" s="3">
        <f t="shared" si="70"/>
        <v>8.6184969301705274E-4</v>
      </c>
      <c r="K741" s="3" t="str">
        <f t="shared" si="71"/>
        <v>Normal</v>
      </c>
      <c r="L741" s="4">
        <f>VALUE(A741)</f>
        <v>42467</v>
      </c>
    </row>
    <row r="742" spans="1:12">
      <c r="A742" s="5">
        <v>42468</v>
      </c>
      <c r="B742" s="3">
        <v>594.59997599999997</v>
      </c>
      <c r="C742" s="3">
        <v>133.15292400000001</v>
      </c>
      <c r="D742" s="3">
        <v>418.04998799999998</v>
      </c>
      <c r="E742" s="3">
        <v>103.80999799999999</v>
      </c>
      <c r="F742" s="3">
        <f t="shared" si="66"/>
        <v>2016</v>
      </c>
      <c r="G742" s="3" t="str">
        <f t="shared" si="67"/>
        <v>Apr</v>
      </c>
      <c r="H742" s="3" t="str">
        <f t="shared" si="68"/>
        <v>Q2</v>
      </c>
      <c r="I742" s="3">
        <f t="shared" si="69"/>
        <v>2.2368265282271017E-3</v>
      </c>
      <c r="J742" s="3">
        <f t="shared" si="70"/>
        <v>1.6002875713513939E-2</v>
      </c>
      <c r="K742" s="3" t="str">
        <f t="shared" si="71"/>
        <v>Normal</v>
      </c>
      <c r="L742" s="4">
        <f>VALUE(A742)</f>
        <v>42468</v>
      </c>
    </row>
    <row r="743" spans="1:12">
      <c r="A743" s="5">
        <v>42471</v>
      </c>
      <c r="B743" s="3">
        <v>595.92999299999997</v>
      </c>
      <c r="C743" s="3">
        <v>133.337479</v>
      </c>
      <c r="D743" s="3">
        <v>424.73998999999998</v>
      </c>
      <c r="E743" s="3">
        <v>102.68</v>
      </c>
      <c r="F743" s="3">
        <f t="shared" si="66"/>
        <v>2016</v>
      </c>
      <c r="G743" s="3" t="str">
        <f t="shared" si="67"/>
        <v>Apr</v>
      </c>
      <c r="H743" s="3" t="str">
        <f t="shared" si="68"/>
        <v>Q2</v>
      </c>
      <c r="I743" s="3">
        <f t="shared" si="69"/>
        <v>1.2149061274048065E-2</v>
      </c>
      <c r="J743" s="3">
        <f t="shared" si="70"/>
        <v>-2.990038682253472E-3</v>
      </c>
      <c r="K743" s="3" t="str">
        <f t="shared" si="71"/>
        <v>Normal</v>
      </c>
      <c r="L743" s="4">
        <f>VALUE(A743)</f>
        <v>42471</v>
      </c>
    </row>
    <row r="744" spans="1:12">
      <c r="A744" s="5">
        <v>42472</v>
      </c>
      <c r="B744" s="3">
        <v>603.169983</v>
      </c>
      <c r="C744" s="3">
        <v>132.85173</v>
      </c>
      <c r="D744" s="3">
        <v>423.47000100000002</v>
      </c>
      <c r="E744" s="3">
        <v>106.980003</v>
      </c>
      <c r="F744" s="3">
        <f t="shared" si="66"/>
        <v>2016</v>
      </c>
      <c r="G744" s="3" t="str">
        <f t="shared" si="67"/>
        <v>Apr</v>
      </c>
      <c r="H744" s="3" t="str">
        <f t="shared" si="68"/>
        <v>Q2</v>
      </c>
      <c r="I744" s="3">
        <f t="shared" si="69"/>
        <v>1.9314661419416207E-2</v>
      </c>
      <c r="J744" s="3">
        <f t="shared" si="70"/>
        <v>1.298764962574019E-3</v>
      </c>
      <c r="K744" s="3" t="str">
        <f t="shared" si="71"/>
        <v>Normal</v>
      </c>
      <c r="L744" s="4">
        <f>VALUE(A744)</f>
        <v>42472</v>
      </c>
    </row>
    <row r="745" spans="1:12">
      <c r="A745" s="5">
        <v>42473</v>
      </c>
      <c r="B745" s="3">
        <v>614.82000700000003</v>
      </c>
      <c r="C745" s="3">
        <v>133.24031099999999</v>
      </c>
      <c r="D745" s="3">
        <v>424.01998900000001</v>
      </c>
      <c r="E745" s="3">
        <v>109.650002</v>
      </c>
      <c r="F745" s="3">
        <f t="shared" si="66"/>
        <v>2016</v>
      </c>
      <c r="G745" s="3" t="str">
        <f t="shared" si="67"/>
        <v>Apr</v>
      </c>
      <c r="H745" s="3" t="str">
        <f t="shared" si="68"/>
        <v>Q2</v>
      </c>
      <c r="I745" s="3">
        <f t="shared" si="69"/>
        <v>9.6450878834201097E-3</v>
      </c>
      <c r="J745" s="3">
        <f t="shared" si="70"/>
        <v>1.0966520731644031E-2</v>
      </c>
      <c r="K745" s="3" t="str">
        <f t="shared" si="71"/>
        <v>Normal</v>
      </c>
      <c r="L745" s="4">
        <f>VALUE(A745)</f>
        <v>42473</v>
      </c>
    </row>
    <row r="746" spans="1:12">
      <c r="A746" s="5">
        <v>42474</v>
      </c>
      <c r="B746" s="3">
        <v>620.75</v>
      </c>
      <c r="C746" s="3">
        <v>133.366623</v>
      </c>
      <c r="D746" s="3">
        <v>428.67001299999998</v>
      </c>
      <c r="E746" s="3">
        <v>110.41999800000001</v>
      </c>
      <c r="F746" s="3">
        <f t="shared" si="66"/>
        <v>2016</v>
      </c>
      <c r="G746" s="3" t="str">
        <f t="shared" si="67"/>
        <v>Apr</v>
      </c>
      <c r="H746" s="3" t="str">
        <f t="shared" si="68"/>
        <v>Q2</v>
      </c>
      <c r="I746" s="3">
        <f t="shared" si="69"/>
        <v>8.280330245670476E-3</v>
      </c>
      <c r="J746" s="3">
        <f t="shared" si="70"/>
        <v>3.2192011527524362E-3</v>
      </c>
      <c r="K746" s="3" t="str">
        <f t="shared" si="71"/>
        <v>Normal</v>
      </c>
      <c r="L746" s="4">
        <f>VALUE(A746)</f>
        <v>42474</v>
      </c>
    </row>
    <row r="747" spans="1:12">
      <c r="A747" s="5">
        <v>42475</v>
      </c>
      <c r="B747" s="3">
        <v>625.89001499999995</v>
      </c>
      <c r="C747" s="3">
        <v>134.67825300000001</v>
      </c>
      <c r="D747" s="3">
        <v>430.04998799999998</v>
      </c>
      <c r="E747" s="3">
        <v>111.510002</v>
      </c>
      <c r="F747" s="3">
        <f t="shared" si="66"/>
        <v>2016</v>
      </c>
      <c r="G747" s="3" t="str">
        <f t="shared" si="67"/>
        <v>Apr</v>
      </c>
      <c r="H747" s="3" t="str">
        <f t="shared" si="68"/>
        <v>Q2</v>
      </c>
      <c r="I747" s="3">
        <f t="shared" si="69"/>
        <v>1.5114414311274835E-2</v>
      </c>
      <c r="J747" s="3">
        <f t="shared" si="70"/>
        <v>1.132432306915911E-2</v>
      </c>
      <c r="K747" s="3" t="str">
        <f t="shared" si="71"/>
        <v>Normal</v>
      </c>
      <c r="L747" s="4">
        <f>VALUE(A747)</f>
        <v>42475</v>
      </c>
    </row>
    <row r="748" spans="1:12">
      <c r="A748" s="5">
        <v>42478</v>
      </c>
      <c r="B748" s="3">
        <v>635.34997599999997</v>
      </c>
      <c r="C748" s="3">
        <v>134.70739699999999</v>
      </c>
      <c r="D748" s="3">
        <v>434.92001299999998</v>
      </c>
      <c r="E748" s="3">
        <v>108.400002</v>
      </c>
      <c r="F748" s="3">
        <f t="shared" si="66"/>
        <v>2016</v>
      </c>
      <c r="G748" s="3" t="str">
        <f t="shared" si="67"/>
        <v>Apr</v>
      </c>
      <c r="H748" s="3" t="str">
        <f t="shared" si="68"/>
        <v>Q2</v>
      </c>
      <c r="I748" s="3">
        <f t="shared" si="69"/>
        <v>-1.1725745307968563E-2</v>
      </c>
      <c r="J748" s="3">
        <f t="shared" si="70"/>
        <v>1.4347445078366702E-2</v>
      </c>
      <c r="K748" s="3" t="str">
        <f t="shared" si="71"/>
        <v>Normal</v>
      </c>
      <c r="L748" s="4">
        <f>VALUE(A748)</f>
        <v>42478</v>
      </c>
    </row>
    <row r="749" spans="1:12">
      <c r="A749" s="5">
        <v>42479</v>
      </c>
      <c r="B749" s="3">
        <v>627.90002400000003</v>
      </c>
      <c r="C749" s="3">
        <v>133.609497</v>
      </c>
      <c r="D749" s="3">
        <v>441.16000400000001</v>
      </c>
      <c r="E749" s="3">
        <v>94.339995999999999</v>
      </c>
      <c r="F749" s="3">
        <f t="shared" si="66"/>
        <v>2016</v>
      </c>
      <c r="G749" s="3" t="str">
        <f t="shared" si="67"/>
        <v>Apr</v>
      </c>
      <c r="H749" s="3" t="str">
        <f t="shared" si="68"/>
        <v>Q2</v>
      </c>
      <c r="I749" s="3">
        <f t="shared" si="69"/>
        <v>8.1063319086606758E-3</v>
      </c>
      <c r="J749" s="3">
        <f t="shared" si="70"/>
        <v>1.8542007266823694E-2</v>
      </c>
      <c r="K749" s="3" t="str">
        <f t="shared" si="71"/>
        <v>Normal</v>
      </c>
      <c r="L749" s="4">
        <f>VALUE(A749)</f>
        <v>42479</v>
      </c>
    </row>
    <row r="750" spans="1:12">
      <c r="A750" s="5">
        <v>42480</v>
      </c>
      <c r="B750" s="3">
        <v>632.98999000000003</v>
      </c>
      <c r="C750" s="3">
        <v>136.028717</v>
      </c>
      <c r="D750" s="3">
        <v>449.33999599999999</v>
      </c>
      <c r="E750" s="3">
        <v>96.769997000000004</v>
      </c>
      <c r="F750" s="3">
        <f t="shared" si="66"/>
        <v>2016</v>
      </c>
      <c r="G750" s="3" t="str">
        <f t="shared" si="67"/>
        <v>Apr</v>
      </c>
      <c r="H750" s="3" t="str">
        <f t="shared" si="68"/>
        <v>Q2</v>
      </c>
      <c r="I750" s="3">
        <f t="shared" si="69"/>
        <v>-3.1437937904832181E-3</v>
      </c>
      <c r="J750" s="3">
        <f t="shared" si="70"/>
        <v>-9.035467655098323E-3</v>
      </c>
      <c r="K750" s="3" t="str">
        <f t="shared" si="71"/>
        <v>Normal</v>
      </c>
      <c r="L750" s="4">
        <f>VALUE(A750)</f>
        <v>42480</v>
      </c>
    </row>
    <row r="751" spans="1:12">
      <c r="A751" s="5">
        <v>42481</v>
      </c>
      <c r="B751" s="3">
        <v>631</v>
      </c>
      <c r="C751" s="3">
        <v>133.978714</v>
      </c>
      <c r="D751" s="3">
        <v>445.27999899999998</v>
      </c>
      <c r="E751" s="3">
        <v>94.980002999999996</v>
      </c>
      <c r="F751" s="3">
        <f t="shared" si="66"/>
        <v>2016</v>
      </c>
      <c r="G751" s="3" t="str">
        <f t="shared" si="67"/>
        <v>Apr</v>
      </c>
      <c r="H751" s="3" t="str">
        <f t="shared" si="68"/>
        <v>Q2</v>
      </c>
      <c r="I751" s="3">
        <f t="shared" si="69"/>
        <v>-1.664025356576862E-2</v>
      </c>
      <c r="J751" s="3">
        <f t="shared" si="70"/>
        <v>1.0779707174765875E-2</v>
      </c>
      <c r="K751" s="3" t="str">
        <f t="shared" si="71"/>
        <v>Normal</v>
      </c>
      <c r="L751" s="4">
        <f>VALUE(A751)</f>
        <v>42481</v>
      </c>
    </row>
    <row r="752" spans="1:12">
      <c r="A752" s="5">
        <v>42482</v>
      </c>
      <c r="B752" s="3">
        <v>620.5</v>
      </c>
      <c r="C752" s="3">
        <v>128.64482100000001</v>
      </c>
      <c r="D752" s="3">
        <v>450.07998700000002</v>
      </c>
      <c r="E752" s="3">
        <v>95.900002000000001</v>
      </c>
      <c r="F752" s="3">
        <f t="shared" si="66"/>
        <v>2016</v>
      </c>
      <c r="G752" s="3" t="str">
        <f t="shared" si="67"/>
        <v>Apr</v>
      </c>
      <c r="H752" s="3" t="str">
        <f t="shared" si="68"/>
        <v>Q2</v>
      </c>
      <c r="I752" s="3">
        <f t="shared" si="69"/>
        <v>9.1861595487510318E-3</v>
      </c>
      <c r="J752" s="3">
        <f t="shared" si="70"/>
        <v>3.53715194183917E-2</v>
      </c>
      <c r="K752" s="3" t="str">
        <f t="shared" si="71"/>
        <v>Normal</v>
      </c>
      <c r="L752" s="4">
        <f>VALUE(A752)</f>
        <v>42482</v>
      </c>
    </row>
    <row r="753" spans="1:12">
      <c r="A753" s="5">
        <v>42485</v>
      </c>
      <c r="B753" s="3">
        <v>626.20001200000002</v>
      </c>
      <c r="C753" s="3">
        <v>129.86900299999999</v>
      </c>
      <c r="D753" s="3">
        <v>466</v>
      </c>
      <c r="E753" s="3">
        <v>93.559997999999993</v>
      </c>
      <c r="F753" s="3">
        <f t="shared" si="66"/>
        <v>2016</v>
      </c>
      <c r="G753" s="3" t="str">
        <f t="shared" si="67"/>
        <v>Apr</v>
      </c>
      <c r="H753" s="3" t="str">
        <f t="shared" si="68"/>
        <v>Q2</v>
      </c>
      <c r="I753" s="3">
        <f t="shared" si="69"/>
        <v>-1.4883434719576517E-2</v>
      </c>
      <c r="J753" s="3">
        <f t="shared" si="70"/>
        <v>-4.0751051502145877E-2</v>
      </c>
      <c r="K753" s="3" t="str">
        <f t="shared" si="71"/>
        <v>Normal</v>
      </c>
      <c r="L753" s="4">
        <f>VALUE(A753)</f>
        <v>42485</v>
      </c>
    </row>
    <row r="754" spans="1:12">
      <c r="A754" s="5">
        <v>42486</v>
      </c>
      <c r="B754" s="3">
        <v>616.88000499999998</v>
      </c>
      <c r="C754" s="3">
        <v>130.00502</v>
      </c>
      <c r="D754" s="3">
        <v>447.01001000000002</v>
      </c>
      <c r="E754" s="3">
        <v>92.43</v>
      </c>
      <c r="F754" s="3">
        <f t="shared" si="66"/>
        <v>2016</v>
      </c>
      <c r="G754" s="3" t="str">
        <f t="shared" si="67"/>
        <v>Apr</v>
      </c>
      <c r="H754" s="3" t="str">
        <f t="shared" si="68"/>
        <v>Q2</v>
      </c>
      <c r="I754" s="3">
        <f t="shared" si="69"/>
        <v>-1.671313369931637E-2</v>
      </c>
      <c r="J754" s="3">
        <f t="shared" si="70"/>
        <v>3.2885191989324085E-3</v>
      </c>
      <c r="K754" s="3" t="str">
        <f t="shared" si="71"/>
        <v>Normal</v>
      </c>
      <c r="L754" s="4">
        <f>VALUE(A754)</f>
        <v>42486</v>
      </c>
    </row>
    <row r="755" spans="1:12">
      <c r="A755" s="5">
        <v>42487</v>
      </c>
      <c r="B755" s="3">
        <v>606.57000700000003</v>
      </c>
      <c r="C755" s="3">
        <v>129.830139</v>
      </c>
      <c r="D755" s="3">
        <v>448.48001099999999</v>
      </c>
      <c r="E755" s="3">
        <v>91.040001000000004</v>
      </c>
      <c r="F755" s="3">
        <f t="shared" si="66"/>
        <v>2016</v>
      </c>
      <c r="G755" s="3" t="str">
        <f t="shared" si="67"/>
        <v>Apr</v>
      </c>
      <c r="H755" s="3" t="str">
        <f t="shared" si="68"/>
        <v>Q2</v>
      </c>
      <c r="I755" s="3">
        <f t="shared" si="69"/>
        <v>-7.5341789855429371E-3</v>
      </c>
      <c r="J755" s="3">
        <f t="shared" si="70"/>
        <v>1.4493399573164031E-2</v>
      </c>
      <c r="K755" s="3" t="str">
        <f t="shared" si="71"/>
        <v>Normal</v>
      </c>
      <c r="L755" s="4">
        <f>VALUE(A755)</f>
        <v>42487</v>
      </c>
    </row>
    <row r="756" spans="1:12">
      <c r="A756" s="5">
        <v>42488</v>
      </c>
      <c r="B756" s="3">
        <v>602</v>
      </c>
      <c r="C756" s="3">
        <v>117.04435700000001</v>
      </c>
      <c r="D756" s="3">
        <v>454.98001099999999</v>
      </c>
      <c r="E756" s="3">
        <v>90.279999000000004</v>
      </c>
      <c r="F756" s="3">
        <f t="shared" si="66"/>
        <v>2016</v>
      </c>
      <c r="G756" s="3" t="str">
        <f t="shared" si="67"/>
        <v>Apr</v>
      </c>
      <c r="H756" s="3" t="str">
        <f t="shared" si="68"/>
        <v>Q2</v>
      </c>
      <c r="I756" s="3">
        <f t="shared" si="69"/>
        <v>9.566449667774081E-2</v>
      </c>
      <c r="J756" s="3">
        <f t="shared" si="70"/>
        <v>-1.4176473348408301E-2</v>
      </c>
      <c r="K756" s="3" t="str">
        <f t="shared" si="71"/>
        <v>Normal</v>
      </c>
      <c r="L756" s="4">
        <f>VALUE(A756)</f>
        <v>42488</v>
      </c>
    </row>
    <row r="757" spans="1:12">
      <c r="A757" s="5">
        <v>42489</v>
      </c>
      <c r="B757" s="3">
        <v>659.59002699999996</v>
      </c>
      <c r="C757" s="3">
        <v>117.442688</v>
      </c>
      <c r="D757" s="3">
        <v>448.52999899999998</v>
      </c>
      <c r="E757" s="3">
        <v>90.029999000000004</v>
      </c>
      <c r="F757" s="3">
        <f t="shared" si="66"/>
        <v>2016</v>
      </c>
      <c r="G757" s="3" t="str">
        <f t="shared" si="67"/>
        <v>Apr</v>
      </c>
      <c r="H757" s="3" t="str">
        <f t="shared" si="68"/>
        <v>Q2</v>
      </c>
      <c r="I757" s="3">
        <f t="shared" si="69"/>
        <v>3.6780345376568296E-2</v>
      </c>
      <c r="J757" s="3">
        <f t="shared" si="70"/>
        <v>3.8793168882334545E-3</v>
      </c>
      <c r="K757" s="3" t="str">
        <f t="shared" si="71"/>
        <v>Normal</v>
      </c>
      <c r="L757" s="4">
        <f>VALUE(A757)</f>
        <v>42489</v>
      </c>
    </row>
    <row r="758" spans="1:12">
      <c r="A758" s="5">
        <v>42492</v>
      </c>
      <c r="B758" s="3">
        <v>683.84997599999997</v>
      </c>
      <c r="C758" s="3">
        <v>116.947197</v>
      </c>
      <c r="D758" s="3">
        <v>450.26998900000001</v>
      </c>
      <c r="E758" s="3">
        <v>93.110000999999997</v>
      </c>
      <c r="F758" s="3">
        <f t="shared" si="66"/>
        <v>2016</v>
      </c>
      <c r="G758" s="3" t="str">
        <f t="shared" si="67"/>
        <v>May</v>
      </c>
      <c r="H758" s="3" t="str">
        <f t="shared" si="68"/>
        <v>Q2</v>
      </c>
      <c r="I758" s="3">
        <f t="shared" si="69"/>
        <v>-1.8322686904649301E-2</v>
      </c>
      <c r="J758" s="3">
        <f t="shared" si="70"/>
        <v>-9.9273793706025227E-3</v>
      </c>
      <c r="K758" s="3" t="str">
        <f t="shared" si="71"/>
        <v>Normal</v>
      </c>
      <c r="L758" s="4">
        <f>VALUE(A758)</f>
        <v>42492</v>
      </c>
    </row>
    <row r="759" spans="1:12">
      <c r="A759" s="5">
        <v>42493</v>
      </c>
      <c r="B759" s="3">
        <v>671.32000700000003</v>
      </c>
      <c r="C759" s="3">
        <v>115.188667</v>
      </c>
      <c r="D759" s="3">
        <v>445.79998799999998</v>
      </c>
      <c r="E759" s="3">
        <v>91.540001000000004</v>
      </c>
      <c r="F759" s="3">
        <f t="shared" si="66"/>
        <v>2016</v>
      </c>
      <c r="G759" s="3" t="str">
        <f t="shared" si="67"/>
        <v>May</v>
      </c>
      <c r="H759" s="3" t="str">
        <f t="shared" si="68"/>
        <v>Q2</v>
      </c>
      <c r="I759" s="3">
        <f t="shared" si="69"/>
        <v>-6.2560775132686013E-4</v>
      </c>
      <c r="J759" s="3">
        <f t="shared" si="70"/>
        <v>5.1143989712266035E-3</v>
      </c>
      <c r="K759" s="3" t="str">
        <f t="shared" si="71"/>
        <v>Normal</v>
      </c>
      <c r="L759" s="4">
        <f>VALUE(A759)</f>
        <v>42493</v>
      </c>
    </row>
    <row r="760" spans="1:12">
      <c r="A760" s="5">
        <v>42494</v>
      </c>
      <c r="B760" s="3">
        <v>670.90002400000003</v>
      </c>
      <c r="C760" s="3">
        <v>115.63557400000001</v>
      </c>
      <c r="D760" s="3">
        <v>448.07998700000002</v>
      </c>
      <c r="E760" s="3">
        <v>90.790001000000004</v>
      </c>
      <c r="F760" s="3">
        <f t="shared" si="66"/>
        <v>2016</v>
      </c>
      <c r="G760" s="3" t="str">
        <f t="shared" si="67"/>
        <v>May</v>
      </c>
      <c r="H760" s="3" t="str">
        <f t="shared" si="68"/>
        <v>Q2</v>
      </c>
      <c r="I760" s="3">
        <f t="shared" si="69"/>
        <v>-1.7603214454498313E-2</v>
      </c>
      <c r="J760" s="3">
        <f t="shared" si="70"/>
        <v>2.5620450216626144E-2</v>
      </c>
      <c r="K760" s="3" t="str">
        <f t="shared" si="71"/>
        <v>Normal</v>
      </c>
      <c r="L760" s="4">
        <f>VALUE(A760)</f>
        <v>42494</v>
      </c>
    </row>
    <row r="761" spans="1:12">
      <c r="A761" s="5">
        <v>42495</v>
      </c>
      <c r="B761" s="3">
        <v>659.09002699999996</v>
      </c>
      <c r="C761" s="3">
        <v>116.519707</v>
      </c>
      <c r="D761" s="3">
        <v>459.55999800000001</v>
      </c>
      <c r="E761" s="3">
        <v>89.370002999999997</v>
      </c>
      <c r="F761" s="3">
        <f t="shared" si="66"/>
        <v>2016</v>
      </c>
      <c r="G761" s="3" t="str">
        <f t="shared" si="67"/>
        <v>May</v>
      </c>
      <c r="H761" s="3" t="str">
        <f t="shared" si="68"/>
        <v>Q2</v>
      </c>
      <c r="I761" s="3">
        <f t="shared" si="69"/>
        <v>2.2546214312540419E-2</v>
      </c>
      <c r="J761" s="3">
        <f t="shared" si="70"/>
        <v>-2.393609114777664E-3</v>
      </c>
      <c r="K761" s="3" t="str">
        <f t="shared" si="71"/>
        <v>Normal</v>
      </c>
      <c r="L761" s="4">
        <f>VALUE(A761)</f>
        <v>42495</v>
      </c>
    </row>
    <row r="762" spans="1:12">
      <c r="A762" s="5">
        <v>42496</v>
      </c>
      <c r="B762" s="3">
        <v>673.95001200000002</v>
      </c>
      <c r="C762" s="3">
        <v>115.91733600000001</v>
      </c>
      <c r="D762" s="3">
        <v>458.459991</v>
      </c>
      <c r="E762" s="3">
        <v>90.839995999999999</v>
      </c>
      <c r="F762" s="3">
        <f t="shared" si="66"/>
        <v>2016</v>
      </c>
      <c r="G762" s="3" t="str">
        <f t="shared" si="67"/>
        <v>May</v>
      </c>
      <c r="H762" s="3" t="str">
        <f t="shared" si="68"/>
        <v>Q2</v>
      </c>
      <c r="I762" s="3">
        <f t="shared" si="69"/>
        <v>8.6059617133740548E-3</v>
      </c>
      <c r="J762" s="3">
        <f t="shared" si="70"/>
        <v>-1.984907337312234E-2</v>
      </c>
      <c r="K762" s="3" t="str">
        <f t="shared" si="71"/>
        <v>Normal</v>
      </c>
      <c r="L762" s="4">
        <f>VALUE(A762)</f>
        <v>42496</v>
      </c>
    </row>
    <row r="763" spans="1:12">
      <c r="A763" s="5">
        <v>42499</v>
      </c>
      <c r="B763" s="3">
        <v>679.75</v>
      </c>
      <c r="C763" s="3">
        <v>118.054787</v>
      </c>
      <c r="D763" s="3">
        <v>449.35998499999999</v>
      </c>
      <c r="E763" s="3">
        <v>90.540001000000004</v>
      </c>
      <c r="F763" s="3">
        <f t="shared" si="66"/>
        <v>2016</v>
      </c>
      <c r="G763" s="3" t="str">
        <f t="shared" si="67"/>
        <v>May</v>
      </c>
      <c r="H763" s="3" t="str">
        <f t="shared" si="68"/>
        <v>Q2</v>
      </c>
      <c r="I763" s="3">
        <f t="shared" si="69"/>
        <v>3.4306740713497659E-2</v>
      </c>
      <c r="J763" s="3">
        <f t="shared" si="70"/>
        <v>6.9877494766250837E-3</v>
      </c>
      <c r="K763" s="3" t="str">
        <f t="shared" si="71"/>
        <v>Normal</v>
      </c>
      <c r="L763" s="4">
        <f>VALUE(A763)</f>
        <v>42499</v>
      </c>
    </row>
    <row r="764" spans="1:12">
      <c r="A764" s="5">
        <v>42500</v>
      </c>
      <c r="B764" s="3">
        <v>703.07000700000003</v>
      </c>
      <c r="C764" s="3">
        <v>118.744598</v>
      </c>
      <c r="D764" s="3">
        <v>452.5</v>
      </c>
      <c r="E764" s="3">
        <v>92.889999000000003</v>
      </c>
      <c r="F764" s="3">
        <f t="shared" si="66"/>
        <v>2016</v>
      </c>
      <c r="G764" s="3" t="str">
        <f t="shared" si="67"/>
        <v>May</v>
      </c>
      <c r="H764" s="3" t="str">
        <f t="shared" si="68"/>
        <v>Q2</v>
      </c>
      <c r="I764" s="3">
        <f t="shared" si="69"/>
        <v>1.4450869613045408E-2</v>
      </c>
      <c r="J764" s="3">
        <f t="shared" si="70"/>
        <v>4.2651779005525407E-3</v>
      </c>
      <c r="K764" s="3" t="str">
        <f t="shared" si="71"/>
        <v>Normal</v>
      </c>
      <c r="L764" s="4">
        <f>VALUE(A764)</f>
        <v>42500</v>
      </c>
    </row>
    <row r="765" spans="1:12">
      <c r="A765" s="5">
        <v>42501</v>
      </c>
      <c r="B765" s="3">
        <v>713.22997999999995</v>
      </c>
      <c r="C765" s="3">
        <v>116.422562</v>
      </c>
      <c r="D765" s="3">
        <v>454.42999300000002</v>
      </c>
      <c r="E765" s="3">
        <v>90.019997000000004</v>
      </c>
      <c r="F765" s="3">
        <f t="shared" si="66"/>
        <v>2016</v>
      </c>
      <c r="G765" s="3" t="str">
        <f t="shared" si="67"/>
        <v>May</v>
      </c>
      <c r="H765" s="3" t="str">
        <f t="shared" si="68"/>
        <v>Q2</v>
      </c>
      <c r="I765" s="3">
        <f t="shared" si="69"/>
        <v>6.5897580469065718E-3</v>
      </c>
      <c r="J765" s="3">
        <f t="shared" si="70"/>
        <v>2.1565720024998227E-3</v>
      </c>
      <c r="K765" s="3" t="str">
        <f t="shared" si="71"/>
        <v>Normal</v>
      </c>
      <c r="L765" s="4">
        <f>VALUE(A765)</f>
        <v>42501</v>
      </c>
    </row>
    <row r="766" spans="1:12">
      <c r="A766" s="5">
        <v>42502</v>
      </c>
      <c r="B766" s="3">
        <v>717.92999299999997</v>
      </c>
      <c r="C766" s="3">
        <v>118.006203</v>
      </c>
      <c r="D766" s="3">
        <v>455.41000400000001</v>
      </c>
      <c r="E766" s="3">
        <v>87.739998</v>
      </c>
      <c r="F766" s="3">
        <f t="shared" si="66"/>
        <v>2016</v>
      </c>
      <c r="G766" s="3" t="str">
        <f t="shared" si="67"/>
        <v>May</v>
      </c>
      <c r="H766" s="3" t="str">
        <f t="shared" si="68"/>
        <v>Q2</v>
      </c>
      <c r="I766" s="3">
        <f t="shared" si="69"/>
        <v>-1.1157090632930231E-2</v>
      </c>
      <c r="J766" s="3">
        <f t="shared" si="70"/>
        <v>2.2616938384163771E-3</v>
      </c>
      <c r="K766" s="3" t="str">
        <f t="shared" si="71"/>
        <v>Normal</v>
      </c>
      <c r="L766" s="4">
        <f>VALUE(A766)</f>
        <v>42502</v>
      </c>
    </row>
    <row r="767" spans="1:12">
      <c r="A767" s="5">
        <v>42503</v>
      </c>
      <c r="B767" s="3">
        <v>709.919983</v>
      </c>
      <c r="C767" s="3">
        <v>118.48226200000001</v>
      </c>
      <c r="D767" s="3">
        <v>456.44000199999999</v>
      </c>
      <c r="E767" s="3">
        <v>87.879997000000003</v>
      </c>
      <c r="F767" s="3">
        <f t="shared" si="66"/>
        <v>2016</v>
      </c>
      <c r="G767" s="3" t="str">
        <f t="shared" si="67"/>
        <v>May</v>
      </c>
      <c r="H767" s="3" t="str">
        <f t="shared" si="68"/>
        <v>Q2</v>
      </c>
      <c r="I767" s="3">
        <f t="shared" si="69"/>
        <v>1.042356910243551E-3</v>
      </c>
      <c r="J767" s="3">
        <f t="shared" si="70"/>
        <v>-6.9888747393353854E-3</v>
      </c>
      <c r="K767" s="3" t="str">
        <f t="shared" si="71"/>
        <v>Normal</v>
      </c>
      <c r="L767" s="4">
        <f>VALUE(A767)</f>
        <v>42503</v>
      </c>
    </row>
    <row r="768" spans="1:12">
      <c r="A768" s="5">
        <v>42506</v>
      </c>
      <c r="B768" s="3">
        <v>710.65997300000004</v>
      </c>
      <c r="C768" s="3">
        <v>119.66758</v>
      </c>
      <c r="D768" s="3">
        <v>453.25</v>
      </c>
      <c r="E768" s="3">
        <v>89.120002999999997</v>
      </c>
      <c r="F768" s="3">
        <f t="shared" si="66"/>
        <v>2016</v>
      </c>
      <c r="G768" s="3" t="str">
        <f t="shared" si="67"/>
        <v>May</v>
      </c>
      <c r="H768" s="3" t="str">
        <f t="shared" si="68"/>
        <v>Q2</v>
      </c>
      <c r="I768" s="3">
        <f t="shared" si="69"/>
        <v>-2.1655860164787964E-2</v>
      </c>
      <c r="J768" s="3">
        <f t="shared" si="70"/>
        <v>2.1401014892444012E-3</v>
      </c>
      <c r="K768" s="3" t="str">
        <f t="shared" si="71"/>
        <v>Normal</v>
      </c>
      <c r="L768" s="4">
        <f>VALUE(A768)</f>
        <v>42506</v>
      </c>
    </row>
    <row r="769" spans="1:12">
      <c r="A769" s="5">
        <v>42507</v>
      </c>
      <c r="B769" s="3">
        <v>695.27002000000005</v>
      </c>
      <c r="C769" s="3">
        <v>117.627296</v>
      </c>
      <c r="D769" s="3">
        <v>454.22000100000002</v>
      </c>
      <c r="E769" s="3">
        <v>88.629997000000003</v>
      </c>
      <c r="F769" s="3">
        <f t="shared" si="66"/>
        <v>2016</v>
      </c>
      <c r="G769" s="3" t="str">
        <f t="shared" si="67"/>
        <v>May</v>
      </c>
      <c r="H769" s="3" t="str">
        <f t="shared" si="68"/>
        <v>Q2</v>
      </c>
      <c r="I769" s="3">
        <f t="shared" si="69"/>
        <v>3.1354609537169028E-3</v>
      </c>
      <c r="J769" s="3">
        <f t="shared" si="70"/>
        <v>-2.5450215698449637E-2</v>
      </c>
      <c r="K769" s="3" t="str">
        <f t="shared" si="71"/>
        <v>Normal</v>
      </c>
      <c r="L769" s="4">
        <f>VALUE(A769)</f>
        <v>42507</v>
      </c>
    </row>
    <row r="770" spans="1:12">
      <c r="A770" s="5">
        <v>42508</v>
      </c>
      <c r="B770" s="3">
        <v>697.45001200000002</v>
      </c>
      <c r="C770" s="3">
        <v>117.68557699999999</v>
      </c>
      <c r="D770" s="3">
        <v>442.66000400000001</v>
      </c>
      <c r="E770" s="3">
        <v>90.5</v>
      </c>
      <c r="F770" s="3">
        <f t="shared" si="66"/>
        <v>2016</v>
      </c>
      <c r="G770" s="3" t="str">
        <f t="shared" si="67"/>
        <v>May</v>
      </c>
      <c r="H770" s="3" t="str">
        <f t="shared" si="68"/>
        <v>Q2</v>
      </c>
      <c r="I770" s="3">
        <f t="shared" si="69"/>
        <v>1.5341715988099083E-3</v>
      </c>
      <c r="J770" s="3">
        <f t="shared" si="70"/>
        <v>-1.2425315028010079E-3</v>
      </c>
      <c r="K770" s="3" t="str">
        <f t="shared" si="71"/>
        <v>Normal</v>
      </c>
      <c r="L770" s="4">
        <f>VALUE(A770)</f>
        <v>42508</v>
      </c>
    </row>
    <row r="771" spans="1:12">
      <c r="A771" s="5">
        <v>42509</v>
      </c>
      <c r="B771" s="3">
        <v>698.52002000000005</v>
      </c>
      <c r="C771" s="3">
        <v>117.384407</v>
      </c>
      <c r="D771" s="3">
        <v>442.10998499999999</v>
      </c>
      <c r="E771" s="3">
        <v>89.550003000000004</v>
      </c>
      <c r="F771" s="3">
        <f t="shared" ref="F771:F834" si="72">YEAR(A771)</f>
        <v>2016</v>
      </c>
      <c r="G771" s="3" t="str">
        <f t="shared" ref="G771:G834" si="73">TEXT(A771,"MMM")</f>
        <v>May</v>
      </c>
      <c r="H771" s="3" t="str">
        <f t="shared" ref="H771:H834" si="74">"Q"&amp;ROUNDUP(MONTH(A771)/3,0)</f>
        <v>Q2</v>
      </c>
      <c r="I771" s="3">
        <f t="shared" ref="I771:I834" si="75">(B772-B771)/B771</f>
        <v>6.1271944646625011E-3</v>
      </c>
      <c r="J771" s="3">
        <f t="shared" ref="J771:J834" si="76">(D772-D771)/D771</f>
        <v>3.460745180862655E-3</v>
      </c>
      <c r="K771" s="3" t="str">
        <f t="shared" ref="K771:K834" si="77">IF(J771="","",IF(ABS(J771)&gt;0.05,"High Volatility","Normal"))</f>
        <v>Normal</v>
      </c>
      <c r="L771" s="4">
        <f>VALUE(A771)</f>
        <v>42509</v>
      </c>
    </row>
    <row r="772" spans="1:12">
      <c r="A772" s="5">
        <v>42510</v>
      </c>
      <c r="B772" s="3">
        <v>702.79998799999998</v>
      </c>
      <c r="C772" s="3">
        <v>119.560699</v>
      </c>
      <c r="D772" s="3">
        <v>443.64001500000001</v>
      </c>
      <c r="E772" s="3">
        <v>92.489998</v>
      </c>
      <c r="F772" s="3">
        <f t="shared" si="72"/>
        <v>2016</v>
      </c>
      <c r="G772" s="3" t="str">
        <f t="shared" si="73"/>
        <v>May</v>
      </c>
      <c r="H772" s="3" t="str">
        <f t="shared" si="74"/>
        <v>Q2</v>
      </c>
      <c r="I772" s="3">
        <f t="shared" si="75"/>
        <v>-8.6084065214867157E-3</v>
      </c>
      <c r="J772" s="3">
        <f t="shared" si="76"/>
        <v>5.5675095042993115E-3</v>
      </c>
      <c r="K772" s="3" t="str">
        <f t="shared" si="77"/>
        <v>Normal</v>
      </c>
      <c r="L772" s="4">
        <f>VALUE(A772)</f>
        <v>42510</v>
      </c>
    </row>
    <row r="773" spans="1:12">
      <c r="A773" s="5">
        <v>42513</v>
      </c>
      <c r="B773" s="3">
        <v>696.75</v>
      </c>
      <c r="C773" s="3">
        <v>118.414253</v>
      </c>
      <c r="D773" s="3">
        <v>446.10998499999999</v>
      </c>
      <c r="E773" s="3">
        <v>94.889999000000003</v>
      </c>
      <c r="F773" s="3">
        <f t="shared" si="72"/>
        <v>2016</v>
      </c>
      <c r="G773" s="3" t="str">
        <f t="shared" si="73"/>
        <v>May</v>
      </c>
      <c r="H773" s="3" t="str">
        <f t="shared" si="74"/>
        <v>Q2</v>
      </c>
      <c r="I773" s="3">
        <f t="shared" si="75"/>
        <v>1.0692518119842146E-2</v>
      </c>
      <c r="J773" s="3">
        <f t="shared" si="76"/>
        <v>8.2267022111150029E-3</v>
      </c>
      <c r="K773" s="3" t="str">
        <f t="shared" si="77"/>
        <v>Normal</v>
      </c>
      <c r="L773" s="4">
        <f>VALUE(A773)</f>
        <v>42513</v>
      </c>
    </row>
    <row r="774" spans="1:12">
      <c r="A774" s="5">
        <v>42514</v>
      </c>
      <c r="B774" s="3">
        <v>704.20001200000002</v>
      </c>
      <c r="C774" s="3">
        <v>119.036064</v>
      </c>
      <c r="D774" s="3">
        <v>449.77999899999998</v>
      </c>
      <c r="E774" s="3">
        <v>97.889999000000003</v>
      </c>
      <c r="F774" s="3">
        <f t="shared" si="72"/>
        <v>2016</v>
      </c>
      <c r="G774" s="3" t="str">
        <f t="shared" si="73"/>
        <v>May</v>
      </c>
      <c r="H774" s="3" t="str">
        <f t="shared" si="74"/>
        <v>Q2</v>
      </c>
      <c r="I774" s="3">
        <f t="shared" si="75"/>
        <v>5.8931609333740748E-3</v>
      </c>
      <c r="J774" s="3">
        <f t="shared" si="76"/>
        <v>7.8260238512740301E-3</v>
      </c>
      <c r="K774" s="3" t="str">
        <f t="shared" si="77"/>
        <v>Normal</v>
      </c>
      <c r="L774" s="4">
        <f>VALUE(A774)</f>
        <v>42514</v>
      </c>
    </row>
    <row r="775" spans="1:12">
      <c r="A775" s="5">
        <v>42515</v>
      </c>
      <c r="B775" s="3">
        <v>708.34997599999997</v>
      </c>
      <c r="C775" s="3">
        <v>117.841042</v>
      </c>
      <c r="D775" s="3">
        <v>453.29998799999998</v>
      </c>
      <c r="E775" s="3">
        <v>100.199997</v>
      </c>
      <c r="F775" s="3">
        <f t="shared" si="72"/>
        <v>2016</v>
      </c>
      <c r="G775" s="3" t="str">
        <f t="shared" si="73"/>
        <v>May</v>
      </c>
      <c r="H775" s="3" t="str">
        <f t="shared" si="74"/>
        <v>Q2</v>
      </c>
      <c r="I775" s="3">
        <f t="shared" si="75"/>
        <v>9.2609546442619876E-3</v>
      </c>
      <c r="J775" s="3">
        <f t="shared" si="76"/>
        <v>4.5775425875369757E-2</v>
      </c>
      <c r="K775" s="3" t="str">
        <f t="shared" si="77"/>
        <v>Normal</v>
      </c>
      <c r="L775" s="4">
        <f>VALUE(A775)</f>
        <v>42515</v>
      </c>
    </row>
    <row r="776" spans="1:12">
      <c r="A776" s="5">
        <v>42516</v>
      </c>
      <c r="B776" s="3">
        <v>714.90997300000004</v>
      </c>
      <c r="C776" s="3">
        <v>119.502403</v>
      </c>
      <c r="D776" s="3">
        <v>474.04998799999998</v>
      </c>
      <c r="E776" s="3">
        <v>102.80999799999999</v>
      </c>
      <c r="F776" s="3">
        <f t="shared" si="72"/>
        <v>2016</v>
      </c>
      <c r="G776" s="3" t="str">
        <f t="shared" si="73"/>
        <v>May</v>
      </c>
      <c r="H776" s="3" t="str">
        <f t="shared" si="74"/>
        <v>Q2</v>
      </c>
      <c r="I776" s="3">
        <f t="shared" si="75"/>
        <v>-3.7347122027069578E-3</v>
      </c>
      <c r="J776" s="3">
        <f t="shared" si="76"/>
        <v>0.10583268488554419</v>
      </c>
      <c r="K776" s="3" t="str">
        <f t="shared" si="77"/>
        <v>High Volatility</v>
      </c>
      <c r="L776" s="4">
        <f>VALUE(A776)</f>
        <v>42516</v>
      </c>
    </row>
    <row r="777" spans="1:12">
      <c r="A777" s="5">
        <v>42517</v>
      </c>
      <c r="B777" s="3">
        <v>712.23999000000003</v>
      </c>
      <c r="C777" s="3">
        <v>118.705742</v>
      </c>
      <c r="D777" s="3">
        <v>524.21997099999999</v>
      </c>
      <c r="E777" s="3">
        <v>103.300003</v>
      </c>
      <c r="F777" s="3">
        <f t="shared" si="72"/>
        <v>2016</v>
      </c>
      <c r="G777" s="3" t="str">
        <f t="shared" si="73"/>
        <v>May</v>
      </c>
      <c r="H777" s="3" t="str">
        <f t="shared" si="74"/>
        <v>Q2</v>
      </c>
      <c r="I777" s="3">
        <f t="shared" si="75"/>
        <v>1.4812406138554484E-2</v>
      </c>
      <c r="J777" s="3">
        <f t="shared" si="76"/>
        <v>2.5142218399001139E-2</v>
      </c>
      <c r="K777" s="3" t="str">
        <f t="shared" si="77"/>
        <v>Normal</v>
      </c>
      <c r="L777" s="4">
        <f>VALUE(A777)</f>
        <v>42517</v>
      </c>
    </row>
    <row r="778" spans="1:12">
      <c r="A778" s="5">
        <v>42521</v>
      </c>
      <c r="B778" s="3">
        <v>722.78997800000002</v>
      </c>
      <c r="C778" s="3">
        <v>117.442688</v>
      </c>
      <c r="D778" s="3">
        <v>537.40002400000003</v>
      </c>
      <c r="E778" s="3">
        <v>102.57</v>
      </c>
      <c r="F778" s="3">
        <f t="shared" si="72"/>
        <v>2016</v>
      </c>
      <c r="G778" s="3" t="str">
        <f t="shared" si="73"/>
        <v>May</v>
      </c>
      <c r="H778" s="3" t="str">
        <f t="shared" si="74"/>
        <v>Q2</v>
      </c>
      <c r="I778" s="3">
        <f t="shared" si="75"/>
        <v>-4.6347847949822704E-3</v>
      </c>
      <c r="J778" s="3">
        <f t="shared" si="76"/>
        <v>-5.5833268812816559E-4</v>
      </c>
      <c r="K778" s="3" t="str">
        <f t="shared" si="77"/>
        <v>Normal</v>
      </c>
      <c r="L778" s="4">
        <f>VALUE(A778)</f>
        <v>42521</v>
      </c>
    </row>
    <row r="779" spans="1:12">
      <c r="A779" s="5">
        <v>42522</v>
      </c>
      <c r="B779" s="3">
        <v>719.44000200000005</v>
      </c>
      <c r="C779" s="3">
        <v>117.947914</v>
      </c>
      <c r="D779" s="3">
        <v>537.09997599999997</v>
      </c>
      <c r="E779" s="3">
        <v>101.510002</v>
      </c>
      <c r="F779" s="3">
        <f t="shared" si="72"/>
        <v>2016</v>
      </c>
      <c r="G779" s="3" t="str">
        <f t="shared" si="73"/>
        <v>Jun</v>
      </c>
      <c r="H779" s="3" t="str">
        <f t="shared" si="74"/>
        <v>Q2</v>
      </c>
      <c r="I779" s="3">
        <f t="shared" si="75"/>
        <v>1.2231719080863653E-2</v>
      </c>
      <c r="J779" s="3">
        <f t="shared" si="76"/>
        <v>5.5725292007832904E-2</v>
      </c>
      <c r="K779" s="3" t="str">
        <f t="shared" si="77"/>
        <v>High Volatility</v>
      </c>
      <c r="L779" s="4">
        <f>VALUE(A779)</f>
        <v>42522</v>
      </c>
    </row>
    <row r="780" spans="1:12">
      <c r="A780" s="5">
        <v>42523</v>
      </c>
      <c r="B780" s="3">
        <v>728.23999000000003</v>
      </c>
      <c r="C780" s="3">
        <v>119.745293</v>
      </c>
      <c r="D780" s="3">
        <v>567.03002900000001</v>
      </c>
      <c r="E780" s="3">
        <v>101.25</v>
      </c>
      <c r="F780" s="3">
        <f t="shared" si="72"/>
        <v>2016</v>
      </c>
      <c r="G780" s="3" t="str">
        <f t="shared" si="73"/>
        <v>Jun</v>
      </c>
      <c r="H780" s="3" t="str">
        <f t="shared" si="74"/>
        <v>Q2</v>
      </c>
      <c r="I780" s="3">
        <f t="shared" si="75"/>
        <v>-3.7075854623144426E-3</v>
      </c>
      <c r="J780" s="3">
        <f t="shared" si="76"/>
        <v>8.6767591633140854E-3</v>
      </c>
      <c r="K780" s="3" t="str">
        <f t="shared" si="77"/>
        <v>Normal</v>
      </c>
      <c r="L780" s="4">
        <f>VALUE(A780)</f>
        <v>42523</v>
      </c>
    </row>
    <row r="781" spans="1:12">
      <c r="A781" s="5">
        <v>42524</v>
      </c>
      <c r="B781" s="3">
        <v>725.53997800000002</v>
      </c>
      <c r="C781" s="3">
        <v>118.734871</v>
      </c>
      <c r="D781" s="3">
        <v>571.95001200000002</v>
      </c>
      <c r="E781" s="3">
        <v>99.589995999999999</v>
      </c>
      <c r="F781" s="3">
        <f t="shared" si="72"/>
        <v>2016</v>
      </c>
      <c r="G781" s="3" t="str">
        <f t="shared" si="73"/>
        <v>Jun</v>
      </c>
      <c r="H781" s="3" t="str">
        <f t="shared" si="74"/>
        <v>Q2</v>
      </c>
      <c r="I781" s="3">
        <f t="shared" si="75"/>
        <v>1.6401604819630434E-3</v>
      </c>
      <c r="J781" s="3">
        <f t="shared" si="76"/>
        <v>6.3467172372399265E-3</v>
      </c>
      <c r="K781" s="3" t="str">
        <f t="shared" si="77"/>
        <v>Normal</v>
      </c>
      <c r="L781" s="4">
        <f>VALUE(A781)</f>
        <v>42524</v>
      </c>
    </row>
    <row r="782" spans="1:12">
      <c r="A782" s="5">
        <v>42527</v>
      </c>
      <c r="B782" s="3">
        <v>726.72997999999995</v>
      </c>
      <c r="C782" s="3">
        <v>120.82373</v>
      </c>
      <c r="D782" s="3">
        <v>575.580017</v>
      </c>
      <c r="E782" s="3">
        <v>100.739998</v>
      </c>
      <c r="F782" s="3">
        <f t="shared" si="72"/>
        <v>2016</v>
      </c>
      <c r="G782" s="3" t="str">
        <f t="shared" si="73"/>
        <v>Jun</v>
      </c>
      <c r="H782" s="3" t="str">
        <f t="shared" si="74"/>
        <v>Q2</v>
      </c>
      <c r="I782" s="3">
        <f t="shared" si="75"/>
        <v>-4.1143066644917011E-3</v>
      </c>
      <c r="J782" s="3">
        <f t="shared" si="76"/>
        <v>8.5652608749270873E-3</v>
      </c>
      <c r="K782" s="3" t="str">
        <f t="shared" si="77"/>
        <v>Normal</v>
      </c>
      <c r="L782" s="4">
        <f>VALUE(A782)</f>
        <v>42527</v>
      </c>
    </row>
    <row r="783" spans="1:12">
      <c r="A783" s="5">
        <v>42528</v>
      </c>
      <c r="B783" s="3">
        <v>723.73999000000003</v>
      </c>
      <c r="C783" s="3">
        <v>121.27066000000001</v>
      </c>
      <c r="D783" s="3">
        <v>580.51000999999997</v>
      </c>
      <c r="E783" s="3">
        <v>99.889999000000003</v>
      </c>
      <c r="F783" s="3">
        <f t="shared" si="72"/>
        <v>2016</v>
      </c>
      <c r="G783" s="3" t="str">
        <f t="shared" si="73"/>
        <v>Jun</v>
      </c>
      <c r="H783" s="3" t="str">
        <f t="shared" si="74"/>
        <v>Q2</v>
      </c>
      <c r="I783" s="3">
        <f t="shared" si="75"/>
        <v>4.0069984249452816E-3</v>
      </c>
      <c r="J783" s="3">
        <f t="shared" si="76"/>
        <v>-1.0025680694119153E-2</v>
      </c>
      <c r="K783" s="3" t="str">
        <f t="shared" si="77"/>
        <v>Normal</v>
      </c>
      <c r="L783" s="4">
        <f>VALUE(A783)</f>
        <v>42528</v>
      </c>
    </row>
    <row r="784" spans="1:12">
      <c r="A784" s="5">
        <v>42529</v>
      </c>
      <c r="B784" s="3">
        <v>726.64001499999995</v>
      </c>
      <c r="C784" s="3">
        <v>122.79600499999999</v>
      </c>
      <c r="D784" s="3">
        <v>574.69000200000005</v>
      </c>
      <c r="E784" s="3">
        <v>97.860000999999997</v>
      </c>
      <c r="F784" s="3">
        <f t="shared" si="72"/>
        <v>2016</v>
      </c>
      <c r="G784" s="3" t="str">
        <f t="shared" si="73"/>
        <v>Jun</v>
      </c>
      <c r="H784" s="3" t="str">
        <f t="shared" si="74"/>
        <v>Q2</v>
      </c>
      <c r="I784" s="3">
        <f t="shared" si="75"/>
        <v>1.3899716216427772E-3</v>
      </c>
      <c r="J784" s="3">
        <f t="shared" si="76"/>
        <v>5.5682419893567222E-3</v>
      </c>
      <c r="K784" s="3" t="str">
        <f t="shared" si="77"/>
        <v>Normal</v>
      </c>
      <c r="L784" s="4">
        <f>VALUE(A784)</f>
        <v>42529</v>
      </c>
    </row>
    <row r="785" spans="1:12">
      <c r="A785" s="5">
        <v>42530</v>
      </c>
      <c r="B785" s="3">
        <v>727.65002400000003</v>
      </c>
      <c r="C785" s="3">
        <v>123.855034</v>
      </c>
      <c r="D785" s="3">
        <v>577.89001499999995</v>
      </c>
      <c r="E785" s="3">
        <v>97.089995999999999</v>
      </c>
      <c r="F785" s="3">
        <f t="shared" si="72"/>
        <v>2016</v>
      </c>
      <c r="G785" s="3" t="str">
        <f t="shared" si="73"/>
        <v>Jun</v>
      </c>
      <c r="H785" s="3" t="str">
        <f t="shared" si="74"/>
        <v>Q2</v>
      </c>
      <c r="I785" s="3">
        <f t="shared" si="75"/>
        <v>-1.338562588984398E-2</v>
      </c>
      <c r="J785" s="3">
        <f t="shared" si="76"/>
        <v>2.3724170074127381E-2</v>
      </c>
      <c r="K785" s="3" t="str">
        <f t="shared" si="77"/>
        <v>Normal</v>
      </c>
      <c r="L785" s="4">
        <f>VALUE(A785)</f>
        <v>42530</v>
      </c>
    </row>
    <row r="786" spans="1:12">
      <c r="A786" s="5">
        <v>42531</v>
      </c>
      <c r="B786" s="3">
        <v>717.90997300000004</v>
      </c>
      <c r="C786" s="3">
        <v>122.660004</v>
      </c>
      <c r="D786" s="3">
        <v>591.59997599999997</v>
      </c>
      <c r="E786" s="3">
        <v>93.75</v>
      </c>
      <c r="F786" s="3">
        <f t="shared" si="72"/>
        <v>2016</v>
      </c>
      <c r="G786" s="3" t="str">
        <f t="shared" si="73"/>
        <v>Jun</v>
      </c>
      <c r="H786" s="3" t="str">
        <f t="shared" si="74"/>
        <v>Q2</v>
      </c>
      <c r="I786" s="3">
        <f t="shared" si="75"/>
        <v>-3.7191055987740151E-3</v>
      </c>
      <c r="J786" s="3">
        <f t="shared" si="76"/>
        <v>0.15811366260095991</v>
      </c>
      <c r="K786" s="3" t="str">
        <f t="shared" si="77"/>
        <v>High Volatility</v>
      </c>
      <c r="L786" s="4">
        <f>VALUE(A786)</f>
        <v>42531</v>
      </c>
    </row>
    <row r="787" spans="1:12">
      <c r="A787" s="5">
        <v>42534</v>
      </c>
      <c r="B787" s="3">
        <v>715.23999000000003</v>
      </c>
      <c r="C787" s="3">
        <v>121.607536</v>
      </c>
      <c r="D787" s="3">
        <v>685.14001499999995</v>
      </c>
      <c r="E787" s="3">
        <v>93.849997999999999</v>
      </c>
      <c r="F787" s="3">
        <f t="shared" si="72"/>
        <v>2016</v>
      </c>
      <c r="G787" s="3" t="str">
        <f t="shared" si="73"/>
        <v>Jun</v>
      </c>
      <c r="H787" s="3" t="str">
        <f t="shared" si="74"/>
        <v>Q2</v>
      </c>
      <c r="I787" s="3">
        <f t="shared" si="75"/>
        <v>5.6764135909122618E-3</v>
      </c>
      <c r="J787" s="3">
        <f t="shared" si="76"/>
        <v>8.2173057721640977E-3</v>
      </c>
      <c r="K787" s="3" t="str">
        <f t="shared" si="77"/>
        <v>Normal</v>
      </c>
      <c r="L787" s="4">
        <f>VALUE(A787)</f>
        <v>42534</v>
      </c>
    </row>
    <row r="788" spans="1:12">
      <c r="A788" s="5">
        <v>42535</v>
      </c>
      <c r="B788" s="3">
        <v>719.29998799999998</v>
      </c>
      <c r="C788" s="3">
        <v>123.137497</v>
      </c>
      <c r="D788" s="3">
        <v>690.77002000000005</v>
      </c>
      <c r="E788" s="3">
        <v>94.120002999999997</v>
      </c>
      <c r="F788" s="3">
        <f t="shared" si="72"/>
        <v>2016</v>
      </c>
      <c r="G788" s="3" t="str">
        <f t="shared" si="73"/>
        <v>Jun</v>
      </c>
      <c r="H788" s="3" t="str">
        <f t="shared" si="74"/>
        <v>Q2</v>
      </c>
      <c r="I788" s="3">
        <f t="shared" si="75"/>
        <v>-7.0067817101089943E-3</v>
      </c>
      <c r="J788" s="3">
        <f t="shared" si="76"/>
        <v>0.10197316032910625</v>
      </c>
      <c r="K788" s="3" t="str">
        <f t="shared" si="77"/>
        <v>High Volatility</v>
      </c>
      <c r="L788" s="4">
        <f>VALUE(A788)</f>
        <v>42535</v>
      </c>
    </row>
    <row r="789" spans="1:12">
      <c r="A789" s="5">
        <v>42536</v>
      </c>
      <c r="B789" s="3">
        <v>714.26000999999997</v>
      </c>
      <c r="C789" s="3">
        <v>123.156982</v>
      </c>
      <c r="D789" s="3">
        <v>761.21002199999998</v>
      </c>
      <c r="E789" s="3">
        <v>94.290001000000004</v>
      </c>
      <c r="F789" s="3">
        <f t="shared" si="72"/>
        <v>2016</v>
      </c>
      <c r="G789" s="3" t="str">
        <f t="shared" si="73"/>
        <v>Jun</v>
      </c>
      <c r="H789" s="3" t="str">
        <f t="shared" si="74"/>
        <v>Q2</v>
      </c>
      <c r="I789" s="3">
        <f t="shared" si="75"/>
        <v>4.5501637421924267E-3</v>
      </c>
      <c r="J789" s="3">
        <f t="shared" si="76"/>
        <v>-2.2740107854228895E-2</v>
      </c>
      <c r="K789" s="3" t="str">
        <f t="shared" si="77"/>
        <v>Normal</v>
      </c>
      <c r="L789" s="4">
        <f>VALUE(A789)</f>
        <v>42536</v>
      </c>
    </row>
    <row r="790" spans="1:12">
      <c r="A790" s="5">
        <v>42537</v>
      </c>
      <c r="B790" s="3">
        <v>717.51000999999997</v>
      </c>
      <c r="C790" s="3">
        <v>123.71244799999999</v>
      </c>
      <c r="D790" s="3">
        <v>743.90002400000003</v>
      </c>
      <c r="E790" s="3">
        <v>95.440002000000007</v>
      </c>
      <c r="F790" s="3">
        <f t="shared" si="72"/>
        <v>2016</v>
      </c>
      <c r="G790" s="3" t="str">
        <f t="shared" si="73"/>
        <v>Jun</v>
      </c>
      <c r="H790" s="3" t="str">
        <f t="shared" si="74"/>
        <v>Q2</v>
      </c>
      <c r="I790" s="3">
        <f t="shared" si="75"/>
        <v>-1.549803465459669E-2</v>
      </c>
      <c r="J790" s="3">
        <f t="shared" si="76"/>
        <v>1.3267906548689685E-2</v>
      </c>
      <c r="K790" s="3" t="str">
        <f t="shared" si="77"/>
        <v>Normal</v>
      </c>
      <c r="L790" s="4">
        <f>VALUE(A790)</f>
        <v>42537</v>
      </c>
    </row>
    <row r="791" spans="1:12">
      <c r="A791" s="5">
        <v>42538</v>
      </c>
      <c r="B791" s="3">
        <v>706.39001499999995</v>
      </c>
      <c r="C791" s="3">
        <v>124.04377700000001</v>
      </c>
      <c r="D791" s="3">
        <v>753.77002000000005</v>
      </c>
      <c r="E791" s="3">
        <v>94.449996999999996</v>
      </c>
      <c r="F791" s="3">
        <f t="shared" si="72"/>
        <v>2016</v>
      </c>
      <c r="G791" s="3" t="str">
        <f t="shared" si="73"/>
        <v>Jun</v>
      </c>
      <c r="H791" s="3" t="str">
        <f t="shared" si="74"/>
        <v>Q2</v>
      </c>
      <c r="I791" s="3">
        <f t="shared" si="75"/>
        <v>1.0787234867695599E-2</v>
      </c>
      <c r="J791" s="3">
        <f t="shared" si="76"/>
        <v>-0.11461057445611866</v>
      </c>
      <c r="K791" s="3" t="str">
        <f t="shared" si="77"/>
        <v>High Volatility</v>
      </c>
      <c r="L791" s="4">
        <f>VALUE(A791)</f>
        <v>42538</v>
      </c>
    </row>
    <row r="792" spans="1:12">
      <c r="A792" s="5">
        <v>42541</v>
      </c>
      <c r="B792" s="3">
        <v>714.01000999999997</v>
      </c>
      <c r="C792" s="3">
        <v>124.238686</v>
      </c>
      <c r="D792" s="3">
        <v>667.38000499999998</v>
      </c>
      <c r="E792" s="3">
        <v>93.800003000000004</v>
      </c>
      <c r="F792" s="3">
        <f t="shared" si="72"/>
        <v>2016</v>
      </c>
      <c r="G792" s="3" t="str">
        <f t="shared" si="73"/>
        <v>Jun</v>
      </c>
      <c r="H792" s="3" t="str">
        <f t="shared" si="74"/>
        <v>Q2</v>
      </c>
      <c r="I792" s="3">
        <f t="shared" si="75"/>
        <v>2.5349742645765804E-3</v>
      </c>
      <c r="J792" s="3">
        <f t="shared" si="76"/>
        <v>-0.11510684531221464</v>
      </c>
      <c r="K792" s="3" t="str">
        <f t="shared" si="77"/>
        <v>High Volatility</v>
      </c>
      <c r="L792" s="4">
        <f>VALUE(A792)</f>
        <v>42541</v>
      </c>
    </row>
    <row r="793" spans="1:12">
      <c r="A793" s="5">
        <v>42542</v>
      </c>
      <c r="B793" s="3">
        <v>715.82000700000003</v>
      </c>
      <c r="C793" s="3">
        <v>124.08277099999999</v>
      </c>
      <c r="D793" s="3">
        <v>590.55999799999995</v>
      </c>
      <c r="E793" s="3">
        <v>90.989998</v>
      </c>
      <c r="F793" s="3">
        <f t="shared" si="72"/>
        <v>2016</v>
      </c>
      <c r="G793" s="3" t="str">
        <f t="shared" si="73"/>
        <v>Jun</v>
      </c>
      <c r="H793" s="3" t="str">
        <f t="shared" si="74"/>
        <v>Q2</v>
      </c>
      <c r="I793" s="3">
        <f t="shared" si="75"/>
        <v>-7.2923792978030894E-3</v>
      </c>
      <c r="J793" s="3">
        <f t="shared" si="76"/>
        <v>5.1273416930619833E-2</v>
      </c>
      <c r="K793" s="3" t="str">
        <f t="shared" si="77"/>
        <v>High Volatility</v>
      </c>
      <c r="L793" s="4">
        <f>VALUE(A793)</f>
        <v>42542</v>
      </c>
    </row>
    <row r="794" spans="1:12">
      <c r="A794" s="5">
        <v>42543</v>
      </c>
      <c r="B794" s="3">
        <v>710.59997599999997</v>
      </c>
      <c r="C794" s="3">
        <v>122.12402299999999</v>
      </c>
      <c r="D794" s="3">
        <v>620.84002699999996</v>
      </c>
      <c r="E794" s="3">
        <v>90.010002</v>
      </c>
      <c r="F794" s="3">
        <f t="shared" si="72"/>
        <v>2016</v>
      </c>
      <c r="G794" s="3" t="str">
        <f t="shared" si="73"/>
        <v>Jun</v>
      </c>
      <c r="H794" s="3" t="str">
        <f t="shared" si="74"/>
        <v>Q2</v>
      </c>
      <c r="I794" s="3">
        <f t="shared" si="75"/>
        <v>1.6155419909555456E-2</v>
      </c>
      <c r="J794" s="3">
        <f t="shared" si="76"/>
        <v>5.8066468707243947E-2</v>
      </c>
      <c r="K794" s="3" t="str">
        <f t="shared" si="77"/>
        <v>High Volatility</v>
      </c>
      <c r="L794" s="4">
        <f>VALUE(A794)</f>
        <v>42543</v>
      </c>
    </row>
    <row r="795" spans="1:12">
      <c r="A795" s="5">
        <v>42544</v>
      </c>
      <c r="B795" s="3">
        <v>722.080017</v>
      </c>
      <c r="C795" s="3">
        <v>124.00479900000001</v>
      </c>
      <c r="D795" s="3">
        <v>656.89001499999995</v>
      </c>
      <c r="E795" s="3">
        <v>91.660004000000001</v>
      </c>
      <c r="F795" s="3">
        <f t="shared" si="72"/>
        <v>2016</v>
      </c>
      <c r="G795" s="3" t="str">
        <f t="shared" si="73"/>
        <v>Jun</v>
      </c>
      <c r="H795" s="3" t="str">
        <f t="shared" si="74"/>
        <v>Q2</v>
      </c>
      <c r="I795" s="3">
        <f t="shared" si="75"/>
        <v>-3.2018605217820365E-2</v>
      </c>
      <c r="J795" s="3">
        <f t="shared" si="76"/>
        <v>1.009302143221053E-2</v>
      </c>
      <c r="K795" s="3" t="str">
        <f t="shared" si="77"/>
        <v>Normal</v>
      </c>
      <c r="L795" s="4">
        <f>VALUE(A795)</f>
        <v>42544</v>
      </c>
    </row>
    <row r="796" spans="1:12">
      <c r="A796" s="5">
        <v>42545</v>
      </c>
      <c r="B796" s="3">
        <v>698.96002199999998</v>
      </c>
      <c r="C796" s="3">
        <v>121.78295900000001</v>
      </c>
      <c r="D796" s="3">
        <v>663.52002000000005</v>
      </c>
      <c r="E796" s="3">
        <v>88.440002000000007</v>
      </c>
      <c r="F796" s="3">
        <f t="shared" si="72"/>
        <v>2016</v>
      </c>
      <c r="G796" s="3" t="str">
        <f t="shared" si="73"/>
        <v>Jun</v>
      </c>
      <c r="H796" s="3" t="str">
        <f t="shared" si="74"/>
        <v>Q2</v>
      </c>
      <c r="I796" s="3">
        <f t="shared" si="75"/>
        <v>-1.0873350064075523E-2</v>
      </c>
      <c r="J796" s="3">
        <f t="shared" si="76"/>
        <v>-2.8077532611600921E-2</v>
      </c>
      <c r="K796" s="3" t="str">
        <f t="shared" si="77"/>
        <v>Normal</v>
      </c>
      <c r="L796" s="4">
        <f>VALUE(A796)</f>
        <v>42545</v>
      </c>
    </row>
    <row r="797" spans="1:12">
      <c r="A797" s="5">
        <v>42548</v>
      </c>
      <c r="B797" s="3">
        <v>691.35998500000005</v>
      </c>
      <c r="C797" s="3">
        <v>118.96666</v>
      </c>
      <c r="D797" s="3">
        <v>644.89001499999995</v>
      </c>
      <c r="E797" s="3">
        <v>85.330001999999993</v>
      </c>
      <c r="F797" s="3">
        <f t="shared" si="72"/>
        <v>2016</v>
      </c>
      <c r="G797" s="3" t="str">
        <f t="shared" si="73"/>
        <v>Jun</v>
      </c>
      <c r="H797" s="3" t="str">
        <f t="shared" si="74"/>
        <v>Q2</v>
      </c>
      <c r="I797" s="3">
        <f t="shared" si="75"/>
        <v>2.3996221013572201E-2</v>
      </c>
      <c r="J797" s="3">
        <f t="shared" si="76"/>
        <v>-1.2948001683666834E-2</v>
      </c>
      <c r="K797" s="3" t="str">
        <f t="shared" si="77"/>
        <v>Normal</v>
      </c>
      <c r="L797" s="4">
        <f>VALUE(A797)</f>
        <v>42548</v>
      </c>
    </row>
    <row r="798" spans="1:12">
      <c r="A798" s="5">
        <v>42549</v>
      </c>
      <c r="B798" s="3">
        <v>707.95001200000002</v>
      </c>
      <c r="C798" s="3">
        <v>121.35417200000001</v>
      </c>
      <c r="D798" s="3">
        <v>636.53997800000002</v>
      </c>
      <c r="E798" s="3">
        <v>87.970000999999996</v>
      </c>
      <c r="F798" s="3">
        <f t="shared" si="72"/>
        <v>2016</v>
      </c>
      <c r="G798" s="3" t="str">
        <f t="shared" si="73"/>
        <v>Jun</v>
      </c>
      <c r="H798" s="3" t="str">
        <f t="shared" si="74"/>
        <v>Q2</v>
      </c>
      <c r="I798" s="3">
        <f t="shared" si="75"/>
        <v>1.080579683640143E-2</v>
      </c>
      <c r="J798" s="3">
        <f t="shared" si="76"/>
        <v>5.2596919529224018E-2</v>
      </c>
      <c r="K798" s="3" t="str">
        <f t="shared" si="77"/>
        <v>High Volatility</v>
      </c>
      <c r="L798" s="4">
        <f>VALUE(A798)</f>
        <v>42549</v>
      </c>
    </row>
    <row r="799" spans="1:12">
      <c r="A799" s="5">
        <v>42550</v>
      </c>
      <c r="B799" s="3">
        <v>715.59997599999997</v>
      </c>
      <c r="C799" s="3">
        <v>123.644234</v>
      </c>
      <c r="D799" s="3">
        <v>670.02002000000005</v>
      </c>
      <c r="E799" s="3">
        <v>91.059997999999993</v>
      </c>
      <c r="F799" s="3">
        <f t="shared" si="72"/>
        <v>2016</v>
      </c>
      <c r="G799" s="3" t="str">
        <f t="shared" si="73"/>
        <v>Jun</v>
      </c>
      <c r="H799" s="3" t="str">
        <f t="shared" si="74"/>
        <v>Q2</v>
      </c>
      <c r="I799" s="3">
        <f t="shared" si="75"/>
        <v>2.7975126706890117E-5</v>
      </c>
      <c r="J799" s="3">
        <f t="shared" si="76"/>
        <v>6.7908224593050022E-3</v>
      </c>
      <c r="K799" s="3" t="str">
        <f t="shared" si="77"/>
        <v>Normal</v>
      </c>
      <c r="L799" s="4">
        <f>VALUE(A799)</f>
        <v>42550</v>
      </c>
    </row>
    <row r="800" spans="1:12">
      <c r="A800" s="5">
        <v>42551</v>
      </c>
      <c r="B800" s="3">
        <v>715.61999500000002</v>
      </c>
      <c r="C800" s="3">
        <v>128.02946499999999</v>
      </c>
      <c r="D800" s="3">
        <v>674.57000700000003</v>
      </c>
      <c r="E800" s="3">
        <v>91.480002999999996</v>
      </c>
      <c r="F800" s="3">
        <f t="shared" si="72"/>
        <v>2016</v>
      </c>
      <c r="G800" s="3" t="str">
        <f t="shared" si="73"/>
        <v>Jun</v>
      </c>
      <c r="H800" s="3" t="str">
        <f t="shared" si="74"/>
        <v>Q2</v>
      </c>
      <c r="I800" s="3">
        <f t="shared" si="75"/>
        <v>1.40577374448571E-2</v>
      </c>
      <c r="J800" s="3">
        <f t="shared" si="76"/>
        <v>3.4822169317112725E-2</v>
      </c>
      <c r="K800" s="3" t="str">
        <f t="shared" si="77"/>
        <v>Normal</v>
      </c>
      <c r="L800" s="4">
        <f>VALUE(A800)</f>
        <v>42551</v>
      </c>
    </row>
    <row r="801" spans="1:12">
      <c r="A801" s="5">
        <v>42552</v>
      </c>
      <c r="B801" s="3">
        <v>725.67999299999997</v>
      </c>
      <c r="C801" s="3">
        <v>129.208618</v>
      </c>
      <c r="D801" s="3">
        <v>698.05999799999995</v>
      </c>
      <c r="E801" s="3">
        <v>96.669998000000007</v>
      </c>
      <c r="F801" s="3">
        <f t="shared" si="72"/>
        <v>2016</v>
      </c>
      <c r="G801" s="3" t="str">
        <f t="shared" si="73"/>
        <v>Jul</v>
      </c>
      <c r="H801" s="3" t="str">
        <f t="shared" si="74"/>
        <v>Q3</v>
      </c>
      <c r="I801" s="3">
        <f t="shared" si="75"/>
        <v>3.3347798249138199E-3</v>
      </c>
      <c r="J801" s="3">
        <f t="shared" si="76"/>
        <v>-3.6329235413371928E-2</v>
      </c>
      <c r="K801" s="3" t="str">
        <f t="shared" si="77"/>
        <v>Normal</v>
      </c>
      <c r="L801" s="4">
        <f>VALUE(A801)</f>
        <v>42552</v>
      </c>
    </row>
    <row r="802" spans="1:12">
      <c r="A802" s="5">
        <v>42556</v>
      </c>
      <c r="B802" s="3">
        <v>728.09997599999997</v>
      </c>
      <c r="C802" s="3">
        <v>130.51443499999999</v>
      </c>
      <c r="D802" s="3">
        <v>672.70001200000002</v>
      </c>
      <c r="E802" s="3">
        <v>97.910004000000001</v>
      </c>
      <c r="F802" s="3">
        <f t="shared" si="72"/>
        <v>2016</v>
      </c>
      <c r="G802" s="3" t="str">
        <f t="shared" si="73"/>
        <v>Jul</v>
      </c>
      <c r="H802" s="3" t="str">
        <f t="shared" si="74"/>
        <v>Q3</v>
      </c>
      <c r="I802" s="3">
        <f t="shared" si="75"/>
        <v>1.3061405457318794E-2</v>
      </c>
      <c r="J802" s="3">
        <f t="shared" si="76"/>
        <v>-5.5671192703947825E-2</v>
      </c>
      <c r="K802" s="3" t="str">
        <f t="shared" si="77"/>
        <v>High Volatility</v>
      </c>
      <c r="L802" s="4">
        <f>VALUE(A802)</f>
        <v>42556</v>
      </c>
    </row>
    <row r="803" spans="1:12">
      <c r="A803" s="5">
        <v>42557</v>
      </c>
      <c r="B803" s="3">
        <v>737.60998500000005</v>
      </c>
      <c r="C803" s="3">
        <v>131.53762800000001</v>
      </c>
      <c r="D803" s="3">
        <v>635.25</v>
      </c>
      <c r="E803" s="3">
        <v>94.599997999999999</v>
      </c>
      <c r="F803" s="3">
        <f t="shared" si="72"/>
        <v>2016</v>
      </c>
      <c r="G803" s="3" t="str">
        <f t="shared" si="73"/>
        <v>Jul</v>
      </c>
      <c r="H803" s="3" t="str">
        <f t="shared" si="74"/>
        <v>Q3</v>
      </c>
      <c r="I803" s="3">
        <f t="shared" si="75"/>
        <v>-1.4099293951396537E-3</v>
      </c>
      <c r="J803" s="3">
        <f t="shared" si="76"/>
        <v>4.3337314443132643E-2</v>
      </c>
      <c r="K803" s="3" t="str">
        <f t="shared" si="77"/>
        <v>Normal</v>
      </c>
      <c r="L803" s="4">
        <f>VALUE(A803)</f>
        <v>42557</v>
      </c>
    </row>
    <row r="804" spans="1:12">
      <c r="A804" s="5">
        <v>42558</v>
      </c>
      <c r="B804" s="3">
        <v>736.57000700000003</v>
      </c>
      <c r="C804" s="3">
        <v>130.44622799999999</v>
      </c>
      <c r="D804" s="3">
        <v>662.78002900000001</v>
      </c>
      <c r="E804" s="3">
        <v>95.099997999999999</v>
      </c>
      <c r="F804" s="3">
        <f t="shared" si="72"/>
        <v>2016</v>
      </c>
      <c r="G804" s="3" t="str">
        <f t="shared" si="73"/>
        <v>Jul</v>
      </c>
      <c r="H804" s="3" t="str">
        <f t="shared" si="74"/>
        <v>Q3</v>
      </c>
      <c r="I804" s="3">
        <f t="shared" si="75"/>
        <v>1.2544620215577035E-2</v>
      </c>
      <c r="J804" s="3">
        <f t="shared" si="76"/>
        <v>-1.6521336674132067E-2</v>
      </c>
      <c r="K804" s="3" t="str">
        <f t="shared" si="77"/>
        <v>Normal</v>
      </c>
      <c r="L804" s="4">
        <f>VALUE(A804)</f>
        <v>42558</v>
      </c>
    </row>
    <row r="805" spans="1:12">
      <c r="A805" s="5">
        <v>42559</v>
      </c>
      <c r="B805" s="3">
        <v>745.80999799999995</v>
      </c>
      <c r="C805" s="3">
        <v>131.664368</v>
      </c>
      <c r="D805" s="3">
        <v>651.830017</v>
      </c>
      <c r="E805" s="3">
        <v>97.059997999999993</v>
      </c>
      <c r="F805" s="3">
        <f t="shared" si="72"/>
        <v>2016</v>
      </c>
      <c r="G805" s="3" t="str">
        <f t="shared" si="73"/>
        <v>Jul</v>
      </c>
      <c r="H805" s="3" t="str">
        <f t="shared" si="74"/>
        <v>Q3</v>
      </c>
      <c r="I805" s="3">
        <f t="shared" si="75"/>
        <v>1.0686409435878954E-2</v>
      </c>
      <c r="J805" s="3">
        <f t="shared" si="76"/>
        <v>2.873445608749858E-2</v>
      </c>
      <c r="K805" s="3" t="str">
        <f t="shared" si="77"/>
        <v>Normal</v>
      </c>
      <c r="L805" s="4">
        <f>VALUE(A805)</f>
        <v>42559</v>
      </c>
    </row>
    <row r="806" spans="1:12">
      <c r="A806" s="5">
        <v>42562</v>
      </c>
      <c r="B806" s="3">
        <v>753.78002900000001</v>
      </c>
      <c r="C806" s="3">
        <v>132.53164699999999</v>
      </c>
      <c r="D806" s="3">
        <v>670.55999799999995</v>
      </c>
      <c r="E806" s="3">
        <v>94.669998000000007</v>
      </c>
      <c r="F806" s="3">
        <f t="shared" si="72"/>
        <v>2016</v>
      </c>
      <c r="G806" s="3" t="str">
        <f t="shared" si="73"/>
        <v>Jul</v>
      </c>
      <c r="H806" s="3" t="str">
        <f t="shared" si="74"/>
        <v>Q3</v>
      </c>
      <c r="I806" s="3">
        <f t="shared" si="75"/>
        <v>-7.3894329720959381E-3</v>
      </c>
      <c r="J806" s="3">
        <f t="shared" si="76"/>
        <v>-1.4033008273780031E-2</v>
      </c>
      <c r="K806" s="3" t="str">
        <f t="shared" si="77"/>
        <v>Normal</v>
      </c>
      <c r="L806" s="4">
        <f>VALUE(A806)</f>
        <v>42562</v>
      </c>
    </row>
    <row r="807" spans="1:12">
      <c r="A807" s="5">
        <v>42563</v>
      </c>
      <c r="B807" s="3">
        <v>748.21002199999998</v>
      </c>
      <c r="C807" s="3">
        <v>132.19056699999999</v>
      </c>
      <c r="D807" s="3">
        <v>661.15002400000003</v>
      </c>
      <c r="E807" s="3">
        <v>95.970000999999996</v>
      </c>
      <c r="F807" s="3">
        <f t="shared" si="72"/>
        <v>2016</v>
      </c>
      <c r="G807" s="3" t="str">
        <f t="shared" si="73"/>
        <v>Jul</v>
      </c>
      <c r="H807" s="3" t="str">
        <f t="shared" si="74"/>
        <v>Q3</v>
      </c>
      <c r="I807" s="3">
        <f t="shared" si="75"/>
        <v>-7.4578217825582646E-3</v>
      </c>
      <c r="J807" s="3">
        <f t="shared" si="76"/>
        <v>-5.8988487611399227E-3</v>
      </c>
      <c r="K807" s="3" t="str">
        <f t="shared" si="77"/>
        <v>Normal</v>
      </c>
      <c r="L807" s="4">
        <f>VALUE(A807)</f>
        <v>42563</v>
      </c>
    </row>
    <row r="808" spans="1:12">
      <c r="A808" s="5">
        <v>42564</v>
      </c>
      <c r="B808" s="3">
        <v>742.63000499999998</v>
      </c>
      <c r="C808" s="3">
        <v>131.96644599999999</v>
      </c>
      <c r="D808" s="3">
        <v>657.25</v>
      </c>
      <c r="E808" s="3">
        <v>96.43</v>
      </c>
      <c r="F808" s="3">
        <f t="shared" si="72"/>
        <v>2016</v>
      </c>
      <c r="G808" s="3" t="str">
        <f t="shared" si="73"/>
        <v>Jul</v>
      </c>
      <c r="H808" s="3" t="str">
        <f t="shared" si="74"/>
        <v>Q3</v>
      </c>
      <c r="I808" s="3">
        <f t="shared" si="75"/>
        <v>-1.9255793468780833E-3</v>
      </c>
      <c r="J808" s="3">
        <f t="shared" si="76"/>
        <v>1.0574381133510865E-2</v>
      </c>
      <c r="K808" s="3" t="str">
        <f t="shared" si="77"/>
        <v>Normal</v>
      </c>
      <c r="L808" s="4">
        <f>VALUE(A808)</f>
        <v>42564</v>
      </c>
    </row>
    <row r="809" spans="1:12">
      <c r="A809" s="5">
        <v>42565</v>
      </c>
      <c r="B809" s="3">
        <v>741.20001200000002</v>
      </c>
      <c r="C809" s="3">
        <v>132.18083200000001</v>
      </c>
      <c r="D809" s="3">
        <v>664.20001200000002</v>
      </c>
      <c r="E809" s="3">
        <v>98.019997000000004</v>
      </c>
      <c r="F809" s="3">
        <f t="shared" si="72"/>
        <v>2016</v>
      </c>
      <c r="G809" s="3" t="str">
        <f t="shared" si="73"/>
        <v>Jul</v>
      </c>
      <c r="H809" s="3" t="str">
        <f t="shared" si="74"/>
        <v>Q3</v>
      </c>
      <c r="I809" s="3">
        <f t="shared" si="75"/>
        <v>-7.771195233062092E-3</v>
      </c>
      <c r="J809" s="3">
        <f t="shared" si="76"/>
        <v>-5.2845678057590363E-3</v>
      </c>
      <c r="K809" s="3" t="str">
        <f t="shared" si="77"/>
        <v>Normal</v>
      </c>
      <c r="L809" s="4">
        <f>VALUE(A809)</f>
        <v>42565</v>
      </c>
    </row>
    <row r="810" spans="1:12">
      <c r="A810" s="5">
        <v>42566</v>
      </c>
      <c r="B810" s="3">
        <v>735.44000200000005</v>
      </c>
      <c r="C810" s="3">
        <v>132.239304</v>
      </c>
      <c r="D810" s="3">
        <v>660.69000200000005</v>
      </c>
      <c r="E810" s="3">
        <v>98.389999000000003</v>
      </c>
      <c r="F810" s="3">
        <f t="shared" si="72"/>
        <v>2016</v>
      </c>
      <c r="G810" s="3" t="str">
        <f t="shared" si="73"/>
        <v>Jul</v>
      </c>
      <c r="H810" s="3" t="str">
        <f t="shared" si="74"/>
        <v>Q3</v>
      </c>
      <c r="I810" s="3">
        <f t="shared" si="75"/>
        <v>8.5663684092068576E-4</v>
      </c>
      <c r="J810" s="3">
        <f t="shared" si="76"/>
        <v>1.5756215424007458E-2</v>
      </c>
      <c r="K810" s="3" t="str">
        <f t="shared" si="77"/>
        <v>Normal</v>
      </c>
      <c r="L810" s="4">
        <f>VALUE(A810)</f>
        <v>42566</v>
      </c>
    </row>
    <row r="811" spans="1:12">
      <c r="A811" s="5">
        <v>42569</v>
      </c>
      <c r="B811" s="3">
        <v>736.07000700000003</v>
      </c>
      <c r="C811" s="3">
        <v>132.09314000000001</v>
      </c>
      <c r="D811" s="3">
        <v>671.09997599999997</v>
      </c>
      <c r="E811" s="3">
        <v>98.809997999999993</v>
      </c>
      <c r="F811" s="3">
        <f t="shared" si="72"/>
        <v>2016</v>
      </c>
      <c r="G811" s="3" t="str">
        <f t="shared" si="73"/>
        <v>Jul</v>
      </c>
      <c r="H811" s="3" t="str">
        <f t="shared" si="74"/>
        <v>Q3</v>
      </c>
      <c r="I811" s="3">
        <f t="shared" si="75"/>
        <v>5.2712445325869429E-3</v>
      </c>
      <c r="J811" s="3">
        <f t="shared" si="76"/>
        <v>-9.9835378328190245E-3</v>
      </c>
      <c r="K811" s="3" t="str">
        <f t="shared" si="77"/>
        <v>Normal</v>
      </c>
      <c r="L811" s="4">
        <f>VALUE(A811)</f>
        <v>42569</v>
      </c>
    </row>
    <row r="812" spans="1:12">
      <c r="A812" s="5">
        <v>42570</v>
      </c>
      <c r="B812" s="3">
        <v>739.95001200000002</v>
      </c>
      <c r="C812" s="3">
        <v>132.09314000000001</v>
      </c>
      <c r="D812" s="3">
        <v>664.40002400000003</v>
      </c>
      <c r="E812" s="3">
        <v>85.839995999999999</v>
      </c>
      <c r="F812" s="3">
        <f t="shared" si="72"/>
        <v>2016</v>
      </c>
      <c r="G812" s="3" t="str">
        <f t="shared" si="73"/>
        <v>Jul</v>
      </c>
      <c r="H812" s="3" t="str">
        <f t="shared" si="74"/>
        <v>Q3</v>
      </c>
      <c r="I812" s="3">
        <f t="shared" si="75"/>
        <v>7.7977686417011255E-3</v>
      </c>
      <c r="J812" s="3">
        <f t="shared" si="76"/>
        <v>3.310821674503534E-4</v>
      </c>
      <c r="K812" s="3" t="str">
        <f t="shared" si="77"/>
        <v>Normal</v>
      </c>
      <c r="L812" s="4">
        <f>VALUE(A812)</f>
        <v>42570</v>
      </c>
    </row>
    <row r="813" spans="1:12">
      <c r="A813" s="5">
        <v>42571</v>
      </c>
      <c r="B813" s="3">
        <v>745.71997099999999</v>
      </c>
      <c r="C813" s="3">
        <v>133.398956</v>
      </c>
      <c r="D813" s="3">
        <v>664.61999500000002</v>
      </c>
      <c r="E813" s="3">
        <v>87.910004000000001</v>
      </c>
      <c r="F813" s="3">
        <f t="shared" si="72"/>
        <v>2016</v>
      </c>
      <c r="G813" s="3" t="str">
        <f t="shared" si="73"/>
        <v>Jul</v>
      </c>
      <c r="H813" s="3" t="str">
        <f t="shared" si="74"/>
        <v>Q3</v>
      </c>
      <c r="I813" s="3">
        <f t="shared" si="75"/>
        <v>-1.7298423673301612E-3</v>
      </c>
      <c r="J813" s="3">
        <f t="shared" si="76"/>
        <v>-2.0327420332877533E-2</v>
      </c>
      <c r="K813" s="3" t="str">
        <f t="shared" si="77"/>
        <v>Normal</v>
      </c>
      <c r="L813" s="4">
        <f>VALUE(A813)</f>
        <v>42571</v>
      </c>
    </row>
    <row r="814" spans="1:12">
      <c r="A814" s="5">
        <v>42572</v>
      </c>
      <c r="B814" s="3">
        <v>744.42999299999997</v>
      </c>
      <c r="C814" s="3">
        <v>140.97084000000001</v>
      </c>
      <c r="D814" s="3">
        <v>651.10998500000005</v>
      </c>
      <c r="E814" s="3">
        <v>85.989998</v>
      </c>
      <c r="F814" s="3">
        <f t="shared" si="72"/>
        <v>2016</v>
      </c>
      <c r="G814" s="3" t="str">
        <f t="shared" si="73"/>
        <v>Jul</v>
      </c>
      <c r="H814" s="3" t="str">
        <f t="shared" si="74"/>
        <v>Q3</v>
      </c>
      <c r="I814" s="3">
        <f t="shared" si="75"/>
        <v>5.7761240686615364E-4</v>
      </c>
      <c r="J814" s="3">
        <f t="shared" si="76"/>
        <v>6.2201288465880073E-3</v>
      </c>
      <c r="K814" s="3" t="str">
        <f t="shared" si="77"/>
        <v>Normal</v>
      </c>
      <c r="L814" s="4">
        <f>VALUE(A814)</f>
        <v>42572</v>
      </c>
    </row>
    <row r="815" spans="1:12">
      <c r="A815" s="5">
        <v>42573</v>
      </c>
      <c r="B815" s="3">
        <v>744.85998500000005</v>
      </c>
      <c r="C815" s="3">
        <v>144.98573300000001</v>
      </c>
      <c r="D815" s="3">
        <v>655.15997300000004</v>
      </c>
      <c r="E815" s="3">
        <v>85.889999000000003</v>
      </c>
      <c r="F815" s="3">
        <f t="shared" si="72"/>
        <v>2016</v>
      </c>
      <c r="G815" s="3" t="str">
        <f t="shared" si="73"/>
        <v>Jul</v>
      </c>
      <c r="H815" s="3" t="str">
        <f t="shared" si="74"/>
        <v>Q3</v>
      </c>
      <c r="I815" s="3">
        <f t="shared" si="75"/>
        <v>-7.0483045212852988E-3</v>
      </c>
      <c r="J815" s="3">
        <f t="shared" si="76"/>
        <v>-1.1905000795890402E-3</v>
      </c>
      <c r="K815" s="3" t="str">
        <f t="shared" si="77"/>
        <v>Normal</v>
      </c>
      <c r="L815" s="4">
        <f>VALUE(A815)</f>
        <v>42573</v>
      </c>
    </row>
    <row r="816" spans="1:12">
      <c r="A816" s="5">
        <v>42576</v>
      </c>
      <c r="B816" s="3">
        <v>739.60998500000005</v>
      </c>
      <c r="C816" s="3">
        <v>143.923553</v>
      </c>
      <c r="D816" s="3">
        <v>654.38000499999998</v>
      </c>
      <c r="E816" s="3">
        <v>87.660004000000001</v>
      </c>
      <c r="F816" s="3">
        <f t="shared" si="72"/>
        <v>2016</v>
      </c>
      <c r="G816" s="3" t="str">
        <f t="shared" si="73"/>
        <v>Jul</v>
      </c>
      <c r="H816" s="3" t="str">
        <f t="shared" si="74"/>
        <v>Q3</v>
      </c>
      <c r="I816" s="3">
        <f t="shared" si="75"/>
        <v>-5.4352403043883835E-3</v>
      </c>
      <c r="J816" s="3">
        <f t="shared" si="76"/>
        <v>2.4446498789344327E-4</v>
      </c>
      <c r="K816" s="3" t="str">
        <f t="shared" si="77"/>
        <v>Normal</v>
      </c>
      <c r="L816" s="4">
        <f>VALUE(A816)</f>
        <v>42576</v>
      </c>
    </row>
    <row r="817" spans="1:12">
      <c r="A817" s="5">
        <v>42577</v>
      </c>
      <c r="B817" s="3">
        <v>735.59002699999996</v>
      </c>
      <c r="C817" s="3">
        <v>142.40330499999999</v>
      </c>
      <c r="D817" s="3">
        <v>654.53997800000002</v>
      </c>
      <c r="E817" s="3">
        <v>91.410004000000001</v>
      </c>
      <c r="F817" s="3">
        <f t="shared" si="72"/>
        <v>2016</v>
      </c>
      <c r="G817" s="3" t="str">
        <f t="shared" si="73"/>
        <v>Jul</v>
      </c>
      <c r="H817" s="3" t="str">
        <f t="shared" si="74"/>
        <v>Q3</v>
      </c>
      <c r="I817" s="3">
        <f t="shared" si="75"/>
        <v>1.4681493228021136E-3</v>
      </c>
      <c r="J817" s="3">
        <f t="shared" si="76"/>
        <v>-6.2635287954869022E-4</v>
      </c>
      <c r="K817" s="3" t="str">
        <f t="shared" si="77"/>
        <v>Normal</v>
      </c>
      <c r="L817" s="4">
        <f>VALUE(A817)</f>
        <v>42577</v>
      </c>
    </row>
    <row r="818" spans="1:12">
      <c r="A818" s="5">
        <v>42578</v>
      </c>
      <c r="B818" s="3">
        <v>736.669983</v>
      </c>
      <c r="C818" s="3">
        <v>143.47524999999999</v>
      </c>
      <c r="D818" s="3">
        <v>654.13000499999998</v>
      </c>
      <c r="E818" s="3">
        <v>92.040001000000004</v>
      </c>
      <c r="F818" s="3">
        <f t="shared" si="72"/>
        <v>2016</v>
      </c>
      <c r="G818" s="3" t="str">
        <f t="shared" si="73"/>
        <v>Jul</v>
      </c>
      <c r="H818" s="3" t="str">
        <f t="shared" si="74"/>
        <v>Q3</v>
      </c>
      <c r="I818" s="3">
        <f t="shared" si="75"/>
        <v>2.1637914354927706E-2</v>
      </c>
      <c r="J818" s="3">
        <f t="shared" si="76"/>
        <v>1.9873541804583399E-3</v>
      </c>
      <c r="K818" s="3" t="str">
        <f t="shared" si="77"/>
        <v>Normal</v>
      </c>
      <c r="L818" s="4">
        <f>VALUE(A818)</f>
        <v>42578</v>
      </c>
    </row>
    <row r="819" spans="1:12">
      <c r="A819" s="5">
        <v>42579</v>
      </c>
      <c r="B819" s="3">
        <v>752.60998500000005</v>
      </c>
      <c r="C819" s="3">
        <v>143.49473599999999</v>
      </c>
      <c r="D819" s="3">
        <v>655.42999299999997</v>
      </c>
      <c r="E819" s="3">
        <v>91.650002000000001</v>
      </c>
      <c r="F819" s="3">
        <f t="shared" si="72"/>
        <v>2016</v>
      </c>
      <c r="G819" s="3" t="str">
        <f t="shared" si="73"/>
        <v>Jul</v>
      </c>
      <c r="H819" s="3" t="str">
        <f t="shared" si="74"/>
        <v>Q3</v>
      </c>
      <c r="I819" s="3">
        <f t="shared" si="75"/>
        <v>8.2380158695342029E-3</v>
      </c>
      <c r="J819" s="3">
        <f t="shared" si="76"/>
        <v>-1.0527485885131493E-3</v>
      </c>
      <c r="K819" s="3" t="str">
        <f t="shared" si="77"/>
        <v>Normal</v>
      </c>
      <c r="L819" s="4">
        <f>VALUE(A819)</f>
        <v>42579</v>
      </c>
    </row>
    <row r="820" spans="1:12">
      <c r="A820" s="5">
        <v>42580</v>
      </c>
      <c r="B820" s="3">
        <v>758.80999799999995</v>
      </c>
      <c r="C820" s="3">
        <v>143.54345699999999</v>
      </c>
      <c r="D820" s="3">
        <v>654.73999000000003</v>
      </c>
      <c r="E820" s="3">
        <v>91.25</v>
      </c>
      <c r="F820" s="3">
        <f t="shared" si="72"/>
        <v>2016</v>
      </c>
      <c r="G820" s="3" t="str">
        <f t="shared" si="73"/>
        <v>Jul</v>
      </c>
      <c r="H820" s="3" t="str">
        <f t="shared" si="74"/>
        <v>Q3</v>
      </c>
      <c r="I820" s="3">
        <f t="shared" si="75"/>
        <v>1.1768416367123414E-2</v>
      </c>
      <c r="J820" s="3">
        <f t="shared" si="76"/>
        <v>-0.21582612817035976</v>
      </c>
      <c r="K820" s="3" t="str">
        <f t="shared" si="77"/>
        <v>High Volatility</v>
      </c>
      <c r="L820" s="4">
        <f>VALUE(A820)</f>
        <v>42580</v>
      </c>
    </row>
    <row r="821" spans="1:12">
      <c r="A821" s="5">
        <v>42583</v>
      </c>
      <c r="B821" s="3">
        <v>767.73999000000003</v>
      </c>
      <c r="C821" s="3">
        <v>143.75787399999999</v>
      </c>
      <c r="D821" s="3">
        <v>513.42999299999997</v>
      </c>
      <c r="E821" s="3">
        <v>94.370002999999997</v>
      </c>
      <c r="F821" s="3">
        <f t="shared" si="72"/>
        <v>2016</v>
      </c>
      <c r="G821" s="3" t="str">
        <f t="shared" si="73"/>
        <v>Aug</v>
      </c>
      <c r="H821" s="3" t="str">
        <f t="shared" si="74"/>
        <v>Q3</v>
      </c>
      <c r="I821" s="3">
        <f t="shared" si="75"/>
        <v>-9.326038884596901E-3</v>
      </c>
      <c r="J821" s="3">
        <f t="shared" si="76"/>
        <v>0.10324681012548499</v>
      </c>
      <c r="K821" s="3" t="str">
        <f t="shared" si="77"/>
        <v>High Volatility</v>
      </c>
      <c r="L821" s="4">
        <f>VALUE(A821)</f>
        <v>42583</v>
      </c>
    </row>
    <row r="822" spans="1:12">
      <c r="A822" s="5">
        <v>42584</v>
      </c>
      <c r="B822" s="3">
        <v>760.580017</v>
      </c>
      <c r="C822" s="3">
        <v>141.74066199999999</v>
      </c>
      <c r="D822" s="3">
        <v>566.44000200000005</v>
      </c>
      <c r="E822" s="3">
        <v>93.559997999999993</v>
      </c>
      <c r="F822" s="3">
        <f t="shared" si="72"/>
        <v>2016</v>
      </c>
      <c r="G822" s="3" t="str">
        <f t="shared" si="73"/>
        <v>Aug</v>
      </c>
      <c r="H822" s="3" t="str">
        <f t="shared" si="74"/>
        <v>Q3</v>
      </c>
      <c r="I822" s="3">
        <f t="shared" si="75"/>
        <v>-7.809831795778102E-3</v>
      </c>
      <c r="J822" s="3">
        <f t="shared" si="76"/>
        <v>1.7265675032604663E-2</v>
      </c>
      <c r="K822" s="3" t="str">
        <f t="shared" si="77"/>
        <v>Normal</v>
      </c>
      <c r="L822" s="4">
        <f>VALUE(A822)</f>
        <v>42584</v>
      </c>
    </row>
    <row r="823" spans="1:12">
      <c r="A823" s="5">
        <v>42585</v>
      </c>
      <c r="B823" s="3">
        <v>754.64001499999995</v>
      </c>
      <c r="C823" s="3">
        <v>142.43254099999999</v>
      </c>
      <c r="D823" s="3">
        <v>576.21997099999999</v>
      </c>
      <c r="E823" s="3">
        <v>93.099997999999999</v>
      </c>
      <c r="F823" s="3">
        <f t="shared" si="72"/>
        <v>2016</v>
      </c>
      <c r="G823" s="3" t="str">
        <f t="shared" si="73"/>
        <v>Aug</v>
      </c>
      <c r="H823" s="3" t="str">
        <f t="shared" si="74"/>
        <v>Q3</v>
      </c>
      <c r="I823" s="3">
        <f t="shared" si="75"/>
        <v>8.1230850182256731E-3</v>
      </c>
      <c r="J823" s="3">
        <f t="shared" si="76"/>
        <v>-2.7072959607641759E-3</v>
      </c>
      <c r="K823" s="3" t="str">
        <f t="shared" si="77"/>
        <v>Normal</v>
      </c>
      <c r="L823" s="4">
        <f>VALUE(A823)</f>
        <v>42585</v>
      </c>
    </row>
    <row r="824" spans="1:12">
      <c r="A824" s="5">
        <v>42586</v>
      </c>
      <c r="B824" s="3">
        <v>760.77002000000005</v>
      </c>
      <c r="C824" s="3">
        <v>142.76387</v>
      </c>
      <c r="D824" s="3">
        <v>574.65997300000004</v>
      </c>
      <c r="E824" s="3">
        <v>93.440002000000007</v>
      </c>
      <c r="F824" s="3">
        <f t="shared" si="72"/>
        <v>2016</v>
      </c>
      <c r="G824" s="3" t="str">
        <f t="shared" si="73"/>
        <v>Aug</v>
      </c>
      <c r="H824" s="3" t="str">
        <f t="shared" si="74"/>
        <v>Q3</v>
      </c>
      <c r="I824" s="3">
        <f t="shared" si="75"/>
        <v>6.848271965291048E-3</v>
      </c>
      <c r="J824" s="3">
        <f t="shared" si="76"/>
        <v>2.0516548139676988E-2</v>
      </c>
      <c r="K824" s="3" t="str">
        <f t="shared" si="77"/>
        <v>Normal</v>
      </c>
      <c r="L824" s="4">
        <f>VALUE(A824)</f>
        <v>42586</v>
      </c>
    </row>
    <row r="825" spans="1:12">
      <c r="A825" s="5">
        <v>42587</v>
      </c>
      <c r="B825" s="3">
        <v>765.97997999999995</v>
      </c>
      <c r="C825" s="3">
        <v>142.452011</v>
      </c>
      <c r="D825" s="3">
        <v>586.45001200000002</v>
      </c>
      <c r="E825" s="3">
        <v>97.029999000000004</v>
      </c>
      <c r="F825" s="3">
        <f t="shared" si="72"/>
        <v>2016</v>
      </c>
      <c r="G825" s="3" t="str">
        <f t="shared" si="73"/>
        <v>Aug</v>
      </c>
      <c r="H825" s="3" t="str">
        <f t="shared" si="74"/>
        <v>Q3</v>
      </c>
      <c r="I825" s="3">
        <f t="shared" si="75"/>
        <v>7.5722344597047497E-4</v>
      </c>
      <c r="J825" s="3">
        <f t="shared" si="76"/>
        <v>-2.0462306683353177E-3</v>
      </c>
      <c r="K825" s="3" t="str">
        <f t="shared" si="77"/>
        <v>Normal</v>
      </c>
      <c r="L825" s="4">
        <f>VALUE(A825)</f>
        <v>42587</v>
      </c>
    </row>
    <row r="826" spans="1:12">
      <c r="A826" s="5">
        <v>42590</v>
      </c>
      <c r="B826" s="3">
        <v>766.55999799999995</v>
      </c>
      <c r="C826" s="3">
        <v>141.009781</v>
      </c>
      <c r="D826" s="3">
        <v>585.25</v>
      </c>
      <c r="E826" s="3">
        <v>95.110000999999997</v>
      </c>
      <c r="F826" s="3">
        <f t="shared" si="72"/>
        <v>2016</v>
      </c>
      <c r="G826" s="3" t="str">
        <f t="shared" si="73"/>
        <v>Aug</v>
      </c>
      <c r="H826" s="3" t="str">
        <f t="shared" si="74"/>
        <v>Q3</v>
      </c>
      <c r="I826" s="3">
        <f t="shared" si="75"/>
        <v>2.2829263261399664E-3</v>
      </c>
      <c r="J826" s="3">
        <f t="shared" si="76"/>
        <v>9.7223442973089266E-3</v>
      </c>
      <c r="K826" s="3" t="str">
        <f t="shared" si="77"/>
        <v>Normal</v>
      </c>
      <c r="L826" s="4">
        <f>VALUE(A826)</f>
        <v>42590</v>
      </c>
    </row>
    <row r="827" spans="1:12">
      <c r="A827" s="5">
        <v>42591</v>
      </c>
      <c r="B827" s="3">
        <v>768.30999799999995</v>
      </c>
      <c r="C827" s="3">
        <v>141.22416699999999</v>
      </c>
      <c r="D827" s="3">
        <v>590.94000200000005</v>
      </c>
      <c r="E827" s="3">
        <v>93.989998</v>
      </c>
      <c r="F827" s="3">
        <f t="shared" si="72"/>
        <v>2016</v>
      </c>
      <c r="G827" s="3" t="str">
        <f t="shared" si="73"/>
        <v>Aug</v>
      </c>
      <c r="H827" s="3" t="str">
        <f t="shared" si="74"/>
        <v>Q3</v>
      </c>
      <c r="I827" s="3">
        <f t="shared" si="75"/>
        <v>3.253894920680181E-4</v>
      </c>
      <c r="J827" s="3">
        <f t="shared" si="76"/>
        <v>-5.2458371230724122E-3</v>
      </c>
      <c r="K827" s="3" t="str">
        <f t="shared" si="77"/>
        <v>Normal</v>
      </c>
      <c r="L827" s="4">
        <f>VALUE(A827)</f>
        <v>42591</v>
      </c>
    </row>
    <row r="828" spans="1:12">
      <c r="A828" s="5">
        <v>42592</v>
      </c>
      <c r="B828" s="3">
        <v>768.55999799999995</v>
      </c>
      <c r="C828" s="3">
        <v>141.30212399999999</v>
      </c>
      <c r="D828" s="3">
        <v>587.84002699999996</v>
      </c>
      <c r="E828" s="3">
        <v>93.93</v>
      </c>
      <c r="F828" s="3">
        <f t="shared" si="72"/>
        <v>2016</v>
      </c>
      <c r="G828" s="3" t="str">
        <f t="shared" si="73"/>
        <v>Aug</v>
      </c>
      <c r="H828" s="3" t="str">
        <f t="shared" si="74"/>
        <v>Q3</v>
      </c>
      <c r="I828" s="3">
        <f t="shared" si="75"/>
        <v>3.487030299487541E-3</v>
      </c>
      <c r="J828" s="3">
        <f t="shared" si="76"/>
        <v>-1.1908205767689501E-3</v>
      </c>
      <c r="K828" s="3" t="str">
        <f t="shared" si="77"/>
        <v>Normal</v>
      </c>
      <c r="L828" s="4">
        <f>VALUE(A828)</f>
        <v>42592</v>
      </c>
    </row>
    <row r="829" spans="1:12">
      <c r="A829" s="5">
        <v>42593</v>
      </c>
      <c r="B829" s="3">
        <v>771.23999000000003</v>
      </c>
      <c r="C829" s="3">
        <v>142.29612700000001</v>
      </c>
      <c r="D829" s="3">
        <v>587.14001499999995</v>
      </c>
      <c r="E829" s="3">
        <v>95.889999000000003</v>
      </c>
      <c r="F829" s="3">
        <f t="shared" si="72"/>
        <v>2016</v>
      </c>
      <c r="G829" s="3" t="str">
        <f t="shared" si="73"/>
        <v>Aug</v>
      </c>
      <c r="H829" s="3" t="str">
        <f t="shared" si="74"/>
        <v>Q3</v>
      </c>
      <c r="I829" s="3">
        <f t="shared" si="75"/>
        <v>1.7115398800831322E-3</v>
      </c>
      <c r="J829" s="3">
        <f t="shared" si="76"/>
        <v>-4.3430662786626542E-3</v>
      </c>
      <c r="K829" s="3" t="str">
        <f t="shared" si="77"/>
        <v>Normal</v>
      </c>
      <c r="L829" s="4">
        <f>VALUE(A829)</f>
        <v>42593</v>
      </c>
    </row>
    <row r="830" spans="1:12">
      <c r="A830" s="5">
        <v>42594</v>
      </c>
      <c r="B830" s="3">
        <v>772.55999799999995</v>
      </c>
      <c r="C830" s="3">
        <v>142.40330499999999</v>
      </c>
      <c r="D830" s="3">
        <v>584.59002699999996</v>
      </c>
      <c r="E830" s="3">
        <v>96.589995999999999</v>
      </c>
      <c r="F830" s="3">
        <f t="shared" si="72"/>
        <v>2016</v>
      </c>
      <c r="G830" s="3" t="str">
        <f t="shared" si="73"/>
        <v>Aug</v>
      </c>
      <c r="H830" s="3" t="str">
        <f t="shared" si="74"/>
        <v>Q3</v>
      </c>
      <c r="I830" s="3">
        <f t="shared" si="75"/>
        <v>-5.2682096025374542E-3</v>
      </c>
      <c r="J830" s="3">
        <f t="shared" si="76"/>
        <v>-7.5266850216038914E-3</v>
      </c>
      <c r="K830" s="3" t="str">
        <f t="shared" si="77"/>
        <v>Normal</v>
      </c>
      <c r="L830" s="4">
        <f>VALUE(A830)</f>
        <v>42594</v>
      </c>
    </row>
    <row r="831" spans="1:12">
      <c r="A831" s="5">
        <v>42597</v>
      </c>
      <c r="B831" s="3">
        <v>768.48999000000003</v>
      </c>
      <c r="C831" s="3">
        <v>141.44828799999999</v>
      </c>
      <c r="D831" s="3">
        <v>580.19000200000005</v>
      </c>
      <c r="E831" s="3">
        <v>95.309997999999993</v>
      </c>
      <c r="F831" s="3">
        <f t="shared" si="72"/>
        <v>2016</v>
      </c>
      <c r="G831" s="3" t="str">
        <f t="shared" si="73"/>
        <v>Aug</v>
      </c>
      <c r="H831" s="3" t="str">
        <f t="shared" si="74"/>
        <v>Q3</v>
      </c>
      <c r="I831" s="3">
        <f t="shared" si="75"/>
        <v>-5.7905920153885349E-3</v>
      </c>
      <c r="J831" s="3">
        <f t="shared" si="76"/>
        <v>-1.353000736472547E-2</v>
      </c>
      <c r="K831" s="3" t="str">
        <f t="shared" si="77"/>
        <v>Normal</v>
      </c>
      <c r="L831" s="4">
        <f>VALUE(A831)</f>
        <v>42597</v>
      </c>
    </row>
    <row r="832" spans="1:12">
      <c r="A832" s="5">
        <v>42598</v>
      </c>
      <c r="B832" s="3">
        <v>764.03997800000002</v>
      </c>
      <c r="C832" s="3">
        <v>140.298416</v>
      </c>
      <c r="D832" s="3">
        <v>572.34002699999996</v>
      </c>
      <c r="E832" s="3">
        <v>95.120002999999997</v>
      </c>
      <c r="F832" s="3">
        <f t="shared" si="72"/>
        <v>2016</v>
      </c>
      <c r="G832" s="3" t="str">
        <f t="shared" si="73"/>
        <v>Aug</v>
      </c>
      <c r="H832" s="3" t="str">
        <f t="shared" si="74"/>
        <v>Q3</v>
      </c>
      <c r="I832" s="3">
        <f t="shared" si="75"/>
        <v>7.7224623971177027E-4</v>
      </c>
      <c r="J832" s="3">
        <f t="shared" si="76"/>
        <v>1.8345528015988035E-3</v>
      </c>
      <c r="K832" s="3" t="str">
        <f t="shared" si="77"/>
        <v>Normal</v>
      </c>
      <c r="L832" s="4">
        <f>VALUE(A832)</f>
        <v>42598</v>
      </c>
    </row>
    <row r="833" spans="1:12">
      <c r="A833" s="5">
        <v>42599</v>
      </c>
      <c r="B833" s="3">
        <v>764.63000499999998</v>
      </c>
      <c r="C833" s="3">
        <v>140.88310200000001</v>
      </c>
      <c r="D833" s="3">
        <v>573.39001499999995</v>
      </c>
      <c r="E833" s="3">
        <v>96.370002999999997</v>
      </c>
      <c r="F833" s="3">
        <f t="shared" si="72"/>
        <v>2016</v>
      </c>
      <c r="G833" s="3" t="str">
        <f t="shared" si="73"/>
        <v>Aug</v>
      </c>
      <c r="H833" s="3" t="str">
        <f t="shared" si="74"/>
        <v>Q3</v>
      </c>
      <c r="I833" s="3">
        <f t="shared" si="75"/>
        <v>-2.223075198311136E-4</v>
      </c>
      <c r="J833" s="3">
        <f t="shared" si="76"/>
        <v>2.0404662958771651E-3</v>
      </c>
      <c r="K833" s="3" t="str">
        <f t="shared" si="77"/>
        <v>Normal</v>
      </c>
      <c r="L833" s="4">
        <f>VALUE(A833)</f>
        <v>42599</v>
      </c>
    </row>
    <row r="834" spans="1:12">
      <c r="A834" s="5">
        <v>42600</v>
      </c>
      <c r="B834" s="3">
        <v>764.46002199999998</v>
      </c>
      <c r="C834" s="3">
        <v>143.37782300000001</v>
      </c>
      <c r="D834" s="3">
        <v>574.55999799999995</v>
      </c>
      <c r="E834" s="3">
        <v>96.160004000000001</v>
      </c>
      <c r="F834" s="3">
        <f t="shared" si="72"/>
        <v>2016</v>
      </c>
      <c r="G834" s="3" t="str">
        <f t="shared" si="73"/>
        <v>Aug</v>
      </c>
      <c r="H834" s="3" t="str">
        <f t="shared" si="74"/>
        <v>Q3</v>
      </c>
      <c r="I834" s="3">
        <f t="shared" si="75"/>
        <v>-9.3530384771383507E-3</v>
      </c>
      <c r="J834" s="3">
        <f t="shared" si="76"/>
        <v>1.4010698670324246E-2</v>
      </c>
      <c r="K834" s="3" t="str">
        <f t="shared" si="77"/>
        <v>Normal</v>
      </c>
      <c r="L834" s="4">
        <f>VALUE(A834)</f>
        <v>42600</v>
      </c>
    </row>
    <row r="835" spans="1:12">
      <c r="A835" s="5">
        <v>42601</v>
      </c>
      <c r="B835" s="3">
        <v>757.30999799999995</v>
      </c>
      <c r="C835" s="3">
        <v>143.52398700000001</v>
      </c>
      <c r="D835" s="3">
        <v>582.60998500000005</v>
      </c>
      <c r="E835" s="3">
        <v>95.870002999999997</v>
      </c>
      <c r="F835" s="3">
        <f t="shared" ref="F835:F898" si="78">YEAR(A835)</f>
        <v>2016</v>
      </c>
      <c r="G835" s="3" t="str">
        <f t="shared" ref="G835:G898" si="79">TEXT(A835,"MMM")</f>
        <v>Aug</v>
      </c>
      <c r="H835" s="3" t="str">
        <f t="shared" ref="H835:H898" si="80">"Q"&amp;ROUNDUP(MONTH(A835)/3,0)</f>
        <v>Q3</v>
      </c>
      <c r="I835" s="3">
        <f t="shared" ref="I835:I898" si="81">(B836-B835)/B835</f>
        <v>2.8653814233679307E-3</v>
      </c>
      <c r="J835" s="3">
        <f t="shared" ref="J835:J898" si="82">(D836-D835)/D835</f>
        <v>1.6306157197080976E-3</v>
      </c>
      <c r="K835" s="3" t="str">
        <f t="shared" ref="K835:K898" si="83">IF(J835="","",IF(ABS(J835)&gt;0.05,"High Volatility","Normal"))</f>
        <v>Normal</v>
      </c>
      <c r="L835" s="4">
        <f>VALUE(A835)</f>
        <v>42601</v>
      </c>
    </row>
    <row r="836" spans="1:12">
      <c r="A836" s="5">
        <v>42604</v>
      </c>
      <c r="B836" s="3">
        <v>759.47997999999995</v>
      </c>
      <c r="C836" s="3">
        <v>146.24285900000001</v>
      </c>
      <c r="D836" s="3">
        <v>583.55999799999995</v>
      </c>
      <c r="E836" s="3">
        <v>95.260002</v>
      </c>
      <c r="F836" s="3">
        <f t="shared" si="78"/>
        <v>2016</v>
      </c>
      <c r="G836" s="3" t="str">
        <f t="shared" si="79"/>
        <v>Aug</v>
      </c>
      <c r="H836" s="3" t="str">
        <f t="shared" si="80"/>
        <v>Q3</v>
      </c>
      <c r="I836" s="3">
        <f t="shared" si="81"/>
        <v>3.9106126273401711E-3</v>
      </c>
      <c r="J836" s="3">
        <f t="shared" si="82"/>
        <v>-6.6831602806330711E-3</v>
      </c>
      <c r="K836" s="3" t="str">
        <f t="shared" si="83"/>
        <v>Normal</v>
      </c>
      <c r="L836" s="4">
        <f>VALUE(A836)</f>
        <v>42604</v>
      </c>
    </row>
    <row r="837" spans="1:12">
      <c r="A837" s="5">
        <v>42605</v>
      </c>
      <c r="B837" s="3">
        <v>762.45001200000002</v>
      </c>
      <c r="C837" s="3">
        <v>146.64238</v>
      </c>
      <c r="D837" s="3">
        <v>579.65997300000004</v>
      </c>
      <c r="E837" s="3">
        <v>95.940002000000007</v>
      </c>
      <c r="F837" s="3">
        <f t="shared" si="78"/>
        <v>2016</v>
      </c>
      <c r="G837" s="3" t="str">
        <f t="shared" si="79"/>
        <v>Aug</v>
      </c>
      <c r="H837" s="3" t="str">
        <f t="shared" si="80"/>
        <v>Q3</v>
      </c>
      <c r="I837" s="3">
        <f t="shared" si="81"/>
        <v>-6.8201349834853368E-3</v>
      </c>
      <c r="J837" s="3">
        <f t="shared" si="82"/>
        <v>-2.9326692874825349E-3</v>
      </c>
      <c r="K837" s="3" t="str">
        <f t="shared" si="83"/>
        <v>Normal</v>
      </c>
      <c r="L837" s="4">
        <f>VALUE(A837)</f>
        <v>42605</v>
      </c>
    </row>
    <row r="838" spans="1:12">
      <c r="A838" s="5">
        <v>42606</v>
      </c>
      <c r="B838" s="3">
        <v>757.25</v>
      </c>
      <c r="C838" s="3">
        <v>145.99923699999999</v>
      </c>
      <c r="D838" s="3">
        <v>577.96002199999998</v>
      </c>
      <c r="E838" s="3">
        <v>95.18</v>
      </c>
      <c r="F838" s="3">
        <f t="shared" si="78"/>
        <v>2016</v>
      </c>
      <c r="G838" s="3" t="str">
        <f t="shared" si="79"/>
        <v>Aug</v>
      </c>
      <c r="H838" s="3" t="str">
        <f t="shared" si="80"/>
        <v>Q3</v>
      </c>
      <c r="I838" s="3">
        <f t="shared" si="81"/>
        <v>2.6014803565533005E-3</v>
      </c>
      <c r="J838" s="3">
        <f t="shared" si="82"/>
        <v>2.4395683893859987E-3</v>
      </c>
      <c r="K838" s="3" t="str">
        <f t="shared" si="83"/>
        <v>Normal</v>
      </c>
      <c r="L838" s="4">
        <f>VALUE(A838)</f>
        <v>42606</v>
      </c>
    </row>
    <row r="839" spans="1:12">
      <c r="A839" s="5">
        <v>42607</v>
      </c>
      <c r="B839" s="3">
        <v>759.21997099999999</v>
      </c>
      <c r="C839" s="3">
        <v>146.408524</v>
      </c>
      <c r="D839" s="3">
        <v>579.36999500000002</v>
      </c>
      <c r="E839" s="3">
        <v>97.32</v>
      </c>
      <c r="F839" s="3">
        <f t="shared" si="78"/>
        <v>2016</v>
      </c>
      <c r="G839" s="3" t="str">
        <f t="shared" si="79"/>
        <v>Aug</v>
      </c>
      <c r="H839" s="3" t="str">
        <f t="shared" si="80"/>
        <v>Q3</v>
      </c>
      <c r="I839" s="3">
        <f t="shared" si="81"/>
        <v>1.2881680374026955E-2</v>
      </c>
      <c r="J839" s="3">
        <f t="shared" si="82"/>
        <v>-1.5568667825126234E-2</v>
      </c>
      <c r="K839" s="3" t="str">
        <f t="shared" si="83"/>
        <v>Normal</v>
      </c>
      <c r="L839" s="4">
        <f>VALUE(A839)</f>
        <v>42607</v>
      </c>
    </row>
    <row r="840" spans="1:12">
      <c r="A840" s="5">
        <v>42608</v>
      </c>
      <c r="B840" s="3">
        <v>769</v>
      </c>
      <c r="C840" s="3">
        <v>144.566711</v>
      </c>
      <c r="D840" s="3">
        <v>570.34997599999997</v>
      </c>
      <c r="E840" s="3">
        <v>97.580001999999993</v>
      </c>
      <c r="F840" s="3">
        <f t="shared" si="78"/>
        <v>2016</v>
      </c>
      <c r="G840" s="3" t="str">
        <f t="shared" si="79"/>
        <v>Aug</v>
      </c>
      <c r="H840" s="3" t="str">
        <f t="shared" si="80"/>
        <v>Q3</v>
      </c>
      <c r="I840" s="3">
        <f t="shared" si="81"/>
        <v>2.9778647594278533E-3</v>
      </c>
      <c r="J840" s="3">
        <f t="shared" si="82"/>
        <v>1.2220621185754312E-2</v>
      </c>
      <c r="K840" s="3" t="str">
        <f t="shared" si="83"/>
        <v>Normal</v>
      </c>
      <c r="L840" s="4">
        <f>VALUE(A840)</f>
        <v>42608</v>
      </c>
    </row>
    <row r="841" spans="1:12">
      <c r="A841" s="5">
        <v>42611</v>
      </c>
      <c r="B841" s="3">
        <v>771.28997800000002</v>
      </c>
      <c r="C841" s="3">
        <v>146.16487100000001</v>
      </c>
      <c r="D841" s="3">
        <v>577.32000700000003</v>
      </c>
      <c r="E841" s="3">
        <v>97.300003000000004</v>
      </c>
      <c r="F841" s="3">
        <f t="shared" si="78"/>
        <v>2016</v>
      </c>
      <c r="G841" s="3" t="str">
        <f t="shared" si="79"/>
        <v>Aug</v>
      </c>
      <c r="H841" s="3" t="str">
        <f t="shared" si="80"/>
        <v>Q3</v>
      </c>
      <c r="I841" s="3">
        <f t="shared" si="81"/>
        <v>-4.8100728724884603E-3</v>
      </c>
      <c r="J841" s="3">
        <f t="shared" si="82"/>
        <v>-5.9585705644877281E-3</v>
      </c>
      <c r="K841" s="3" t="str">
        <f t="shared" si="83"/>
        <v>Normal</v>
      </c>
      <c r="L841" s="4">
        <f>VALUE(A841)</f>
        <v>42611</v>
      </c>
    </row>
    <row r="842" spans="1:12">
      <c r="A842" s="5">
        <v>42612</v>
      </c>
      <c r="B842" s="3">
        <v>767.580017</v>
      </c>
      <c r="C842" s="3">
        <v>145.619156</v>
      </c>
      <c r="D842" s="3">
        <v>573.88000499999998</v>
      </c>
      <c r="E842" s="3">
        <v>97.449996999999996</v>
      </c>
      <c r="F842" s="3">
        <f t="shared" si="78"/>
        <v>2016</v>
      </c>
      <c r="G842" s="3" t="str">
        <f t="shared" si="79"/>
        <v>Aug</v>
      </c>
      <c r="H842" s="3" t="str">
        <f t="shared" si="80"/>
        <v>Q3</v>
      </c>
      <c r="I842" s="3">
        <f t="shared" si="81"/>
        <v>2.0583599950596923E-3</v>
      </c>
      <c r="J842" s="3">
        <f t="shared" si="82"/>
        <v>-3.2933975457115788E-3</v>
      </c>
      <c r="K842" s="3" t="str">
        <f t="shared" si="83"/>
        <v>Normal</v>
      </c>
      <c r="L842" s="4">
        <f>VALUE(A842)</f>
        <v>42612</v>
      </c>
    </row>
    <row r="843" spans="1:12">
      <c r="A843" s="5">
        <v>42613</v>
      </c>
      <c r="B843" s="3">
        <v>769.15997300000004</v>
      </c>
      <c r="C843" s="3">
        <v>145.75559999999999</v>
      </c>
      <c r="D843" s="3">
        <v>571.98999000000003</v>
      </c>
      <c r="E843" s="3">
        <v>97.449996999999996</v>
      </c>
      <c r="F843" s="3">
        <f t="shared" si="78"/>
        <v>2016</v>
      </c>
      <c r="G843" s="3" t="str">
        <f t="shared" si="79"/>
        <v>Aug</v>
      </c>
      <c r="H843" s="3" t="str">
        <f t="shared" si="80"/>
        <v>Q3</v>
      </c>
      <c r="I843" s="3">
        <f t="shared" si="81"/>
        <v>1.8982033013306332E-3</v>
      </c>
      <c r="J843" s="3">
        <f t="shared" si="82"/>
        <v>5.769310753147943E-3</v>
      </c>
      <c r="K843" s="3" t="str">
        <f t="shared" si="83"/>
        <v>Normal</v>
      </c>
      <c r="L843" s="4">
        <f>VALUE(A843)</f>
        <v>42613</v>
      </c>
    </row>
    <row r="844" spans="1:12">
      <c r="A844" s="5">
        <v>42614</v>
      </c>
      <c r="B844" s="3">
        <v>770.61999500000002</v>
      </c>
      <c r="C844" s="3">
        <v>145.20983899999999</v>
      </c>
      <c r="D844" s="3">
        <v>575.28997800000002</v>
      </c>
      <c r="E844" s="3">
        <v>97.379997000000003</v>
      </c>
      <c r="F844" s="3">
        <f t="shared" si="78"/>
        <v>2016</v>
      </c>
      <c r="G844" s="3" t="str">
        <f t="shared" si="79"/>
        <v>Sep</v>
      </c>
      <c r="H844" s="3" t="str">
        <f t="shared" si="80"/>
        <v>Q3</v>
      </c>
      <c r="I844" s="3">
        <f t="shared" si="81"/>
        <v>2.3617438060376727E-3</v>
      </c>
      <c r="J844" s="3">
        <f t="shared" si="82"/>
        <v>4.0935962559041736E-2</v>
      </c>
      <c r="K844" s="3" t="str">
        <f t="shared" si="83"/>
        <v>Normal</v>
      </c>
      <c r="L844" s="4">
        <f>VALUE(A844)</f>
        <v>42614</v>
      </c>
    </row>
    <row r="845" spans="1:12">
      <c r="A845" s="5">
        <v>42615</v>
      </c>
      <c r="B845" s="3">
        <v>772.44000200000005</v>
      </c>
      <c r="C845" s="3">
        <v>147.14909399999999</v>
      </c>
      <c r="D845" s="3">
        <v>598.84002699999996</v>
      </c>
      <c r="E845" s="3">
        <v>97.379997000000003</v>
      </c>
      <c r="F845" s="3">
        <f t="shared" si="78"/>
        <v>2016</v>
      </c>
      <c r="G845" s="3" t="str">
        <f t="shared" si="79"/>
        <v>Sep</v>
      </c>
      <c r="H845" s="3" t="str">
        <f t="shared" si="80"/>
        <v>Q3</v>
      </c>
      <c r="I845" s="3">
        <f t="shared" si="81"/>
        <v>2.1270251356039903E-2</v>
      </c>
      <c r="J845" s="3">
        <f t="shared" si="82"/>
        <v>2.3996383595113319E-2</v>
      </c>
      <c r="K845" s="3" t="str">
        <f t="shared" si="83"/>
        <v>Normal</v>
      </c>
      <c r="L845" s="4">
        <f>VALUE(A845)</f>
        <v>42615</v>
      </c>
    </row>
    <row r="846" spans="1:12">
      <c r="A846" s="5">
        <v>42619</v>
      </c>
      <c r="B846" s="3">
        <v>788.86999500000002</v>
      </c>
      <c r="C846" s="3">
        <v>146.35003699999999</v>
      </c>
      <c r="D846" s="3">
        <v>613.21002199999998</v>
      </c>
      <c r="E846" s="3">
        <v>100.089996</v>
      </c>
      <c r="F846" s="3">
        <f t="shared" si="78"/>
        <v>2016</v>
      </c>
      <c r="G846" s="3" t="str">
        <f t="shared" si="79"/>
        <v>Sep</v>
      </c>
      <c r="H846" s="3" t="str">
        <f t="shared" si="80"/>
        <v>Q3</v>
      </c>
      <c r="I846" s="3">
        <f t="shared" si="81"/>
        <v>-5.5649410268165441E-3</v>
      </c>
      <c r="J846" s="3">
        <f t="shared" si="82"/>
        <v>2.0156201882819278E-2</v>
      </c>
      <c r="K846" s="3" t="str">
        <f t="shared" si="83"/>
        <v>Normal</v>
      </c>
      <c r="L846" s="4">
        <f>VALUE(A846)</f>
        <v>42619</v>
      </c>
    </row>
    <row r="847" spans="1:12">
      <c r="A847" s="5">
        <v>42620</v>
      </c>
      <c r="B847" s="3">
        <v>784.47997999999995</v>
      </c>
      <c r="C847" s="3">
        <v>146.64238</v>
      </c>
      <c r="D847" s="3">
        <v>625.57000700000003</v>
      </c>
      <c r="E847" s="3">
        <v>99.150002000000001</v>
      </c>
      <c r="F847" s="3">
        <f t="shared" si="78"/>
        <v>2016</v>
      </c>
      <c r="G847" s="3" t="str">
        <f t="shared" si="79"/>
        <v>Sep</v>
      </c>
      <c r="H847" s="3" t="str">
        <f t="shared" si="80"/>
        <v>Q3</v>
      </c>
      <c r="I847" s="3">
        <f t="shared" si="81"/>
        <v>-5.3536356657566265E-4</v>
      </c>
      <c r="J847" s="3">
        <f t="shared" si="82"/>
        <v>-3.8525408396058156E-3</v>
      </c>
      <c r="K847" s="3" t="str">
        <f t="shared" si="83"/>
        <v>Normal</v>
      </c>
      <c r="L847" s="4">
        <f>VALUE(A847)</f>
        <v>42620</v>
      </c>
    </row>
    <row r="848" spans="1:12">
      <c r="A848" s="5">
        <v>42621</v>
      </c>
      <c r="B848" s="3">
        <v>784.05999799999995</v>
      </c>
      <c r="C848" s="3">
        <v>145.43400600000001</v>
      </c>
      <c r="D848" s="3">
        <v>623.15997300000004</v>
      </c>
      <c r="E848" s="3">
        <v>99.660004000000001</v>
      </c>
      <c r="F848" s="3">
        <f t="shared" si="78"/>
        <v>2016</v>
      </c>
      <c r="G848" s="3" t="str">
        <f t="shared" si="79"/>
        <v>Sep</v>
      </c>
      <c r="H848" s="3" t="str">
        <f t="shared" si="80"/>
        <v>Q3</v>
      </c>
      <c r="I848" s="3">
        <f t="shared" si="81"/>
        <v>-3.0507847691523225E-2</v>
      </c>
      <c r="J848" s="3">
        <f t="shared" si="82"/>
        <v>2.1825005759797231E-3</v>
      </c>
      <c r="K848" s="3" t="str">
        <f t="shared" si="83"/>
        <v>Normal</v>
      </c>
      <c r="L848" s="4">
        <f>VALUE(A848)</f>
        <v>42621</v>
      </c>
    </row>
    <row r="849" spans="1:12">
      <c r="A849" s="5">
        <v>42622</v>
      </c>
      <c r="B849" s="3">
        <v>760.14001499999995</v>
      </c>
      <c r="C849" s="3">
        <v>142.40330499999999</v>
      </c>
      <c r="D849" s="3">
        <v>624.52002000000005</v>
      </c>
      <c r="E849" s="3">
        <v>96.5</v>
      </c>
      <c r="F849" s="3">
        <f t="shared" si="78"/>
        <v>2016</v>
      </c>
      <c r="G849" s="3" t="str">
        <f t="shared" si="79"/>
        <v>Sep</v>
      </c>
      <c r="H849" s="3" t="str">
        <f t="shared" si="80"/>
        <v>Q3</v>
      </c>
      <c r="I849" s="3">
        <f t="shared" si="81"/>
        <v>1.4931426810888368E-2</v>
      </c>
      <c r="J849" s="3">
        <f t="shared" si="82"/>
        <v>-2.5475620461294406E-2</v>
      </c>
      <c r="K849" s="3" t="str">
        <f t="shared" si="83"/>
        <v>Normal</v>
      </c>
      <c r="L849" s="4">
        <f>VALUE(A849)</f>
        <v>42622</v>
      </c>
    </row>
    <row r="850" spans="1:12">
      <c r="A850" s="5">
        <v>42625</v>
      </c>
      <c r="B850" s="3">
        <v>771.48999000000003</v>
      </c>
      <c r="C850" s="3">
        <v>146.379288</v>
      </c>
      <c r="D850" s="3">
        <v>608.60998500000005</v>
      </c>
      <c r="E850" s="3">
        <v>99.050003000000004</v>
      </c>
      <c r="F850" s="3">
        <f t="shared" si="78"/>
        <v>2016</v>
      </c>
      <c r="G850" s="3" t="str">
        <f t="shared" si="79"/>
        <v>Sep</v>
      </c>
      <c r="H850" s="3" t="str">
        <f t="shared" si="80"/>
        <v>Q3</v>
      </c>
      <c r="I850" s="3">
        <f t="shared" si="81"/>
        <v>-1.3584077740269927E-2</v>
      </c>
      <c r="J850" s="3">
        <f t="shared" si="82"/>
        <v>1.5280607004828676E-3</v>
      </c>
      <c r="K850" s="3" t="str">
        <f t="shared" si="83"/>
        <v>Normal</v>
      </c>
      <c r="L850" s="4">
        <f>VALUE(A850)</f>
        <v>42625</v>
      </c>
    </row>
    <row r="851" spans="1:12">
      <c r="A851" s="5">
        <v>42626</v>
      </c>
      <c r="B851" s="3">
        <v>761.01000999999997</v>
      </c>
      <c r="C851" s="3">
        <v>146.21318099999999</v>
      </c>
      <c r="D851" s="3">
        <v>609.53997800000002</v>
      </c>
      <c r="E851" s="3">
        <v>96.089995999999999</v>
      </c>
      <c r="F851" s="3">
        <f t="shared" si="78"/>
        <v>2016</v>
      </c>
      <c r="G851" s="3" t="str">
        <f t="shared" si="79"/>
        <v>Sep</v>
      </c>
      <c r="H851" s="3" t="str">
        <f t="shared" si="80"/>
        <v>Q3</v>
      </c>
      <c r="I851" s="3">
        <f t="shared" si="81"/>
        <v>1.0514579170909724E-4</v>
      </c>
      <c r="J851" s="3">
        <f t="shared" si="82"/>
        <v>-2.3460200341444506E-3</v>
      </c>
      <c r="K851" s="3" t="str">
        <f t="shared" si="83"/>
        <v>Normal</v>
      </c>
      <c r="L851" s="4">
        <f>VALUE(A851)</f>
        <v>42626</v>
      </c>
    </row>
    <row r="852" spans="1:12">
      <c r="A852" s="5">
        <v>42627</v>
      </c>
      <c r="B852" s="3">
        <v>761.09002699999996</v>
      </c>
      <c r="C852" s="3">
        <v>146.83843999999999</v>
      </c>
      <c r="D852" s="3">
        <v>608.10998500000005</v>
      </c>
      <c r="E852" s="3">
        <v>97.010002</v>
      </c>
      <c r="F852" s="3">
        <f t="shared" si="78"/>
        <v>2016</v>
      </c>
      <c r="G852" s="3" t="str">
        <f t="shared" si="79"/>
        <v>Sep</v>
      </c>
      <c r="H852" s="3" t="str">
        <f t="shared" si="80"/>
        <v>Q3</v>
      </c>
      <c r="I852" s="3">
        <f t="shared" si="81"/>
        <v>1.1299550243614067E-2</v>
      </c>
      <c r="J852" s="3">
        <f t="shared" si="82"/>
        <v>-5.4259263642914576E-4</v>
      </c>
      <c r="K852" s="3" t="str">
        <f t="shared" si="83"/>
        <v>Normal</v>
      </c>
      <c r="L852" s="4">
        <f>VALUE(A852)</f>
        <v>42627</v>
      </c>
    </row>
    <row r="853" spans="1:12">
      <c r="A853" s="5">
        <v>42628</v>
      </c>
      <c r="B853" s="3">
        <v>769.69000200000005</v>
      </c>
      <c r="C853" s="3">
        <v>148.294128</v>
      </c>
      <c r="D853" s="3">
        <v>607.78002900000001</v>
      </c>
      <c r="E853" s="3">
        <v>97.339995999999999</v>
      </c>
      <c r="F853" s="3">
        <f t="shared" si="78"/>
        <v>2016</v>
      </c>
      <c r="G853" s="3" t="str">
        <f t="shared" si="79"/>
        <v>Sep</v>
      </c>
      <c r="H853" s="3" t="str">
        <f t="shared" si="80"/>
        <v>Q3</v>
      </c>
      <c r="I853" s="3">
        <f t="shared" si="81"/>
        <v>1.1472174482006582E-2</v>
      </c>
      <c r="J853" s="3">
        <f t="shared" si="82"/>
        <v>-1.1517522238296764E-3</v>
      </c>
      <c r="K853" s="3" t="str">
        <f t="shared" si="83"/>
        <v>Normal</v>
      </c>
      <c r="L853" s="4">
        <f>VALUE(A853)</f>
        <v>42628</v>
      </c>
    </row>
    <row r="854" spans="1:12">
      <c r="A854" s="5">
        <v>42629</v>
      </c>
      <c r="B854" s="3">
        <v>778.52002000000005</v>
      </c>
      <c r="C854" s="3">
        <v>146.57463100000001</v>
      </c>
      <c r="D854" s="3">
        <v>607.080017</v>
      </c>
      <c r="E854" s="3">
        <v>99.480002999999996</v>
      </c>
      <c r="F854" s="3">
        <f t="shared" si="78"/>
        <v>2016</v>
      </c>
      <c r="G854" s="3" t="str">
        <f t="shared" si="79"/>
        <v>Sep</v>
      </c>
      <c r="H854" s="3" t="str">
        <f t="shared" si="80"/>
        <v>Q3</v>
      </c>
      <c r="I854" s="3">
        <f t="shared" si="81"/>
        <v>-4.3930071316599867E-3</v>
      </c>
      <c r="J854" s="3">
        <f t="shared" si="82"/>
        <v>3.5579708432406472E-3</v>
      </c>
      <c r="K854" s="3" t="str">
        <f t="shared" si="83"/>
        <v>Normal</v>
      </c>
      <c r="L854" s="4">
        <f>VALUE(A854)</f>
        <v>42629</v>
      </c>
    </row>
    <row r="855" spans="1:12">
      <c r="A855" s="5">
        <v>42632</v>
      </c>
      <c r="B855" s="3">
        <v>775.09997599999997</v>
      </c>
      <c r="C855" s="3">
        <v>148.02056899999999</v>
      </c>
      <c r="D855" s="3">
        <v>609.23999000000003</v>
      </c>
      <c r="E855" s="3">
        <v>98.059997999999993</v>
      </c>
      <c r="F855" s="3">
        <f t="shared" si="78"/>
        <v>2016</v>
      </c>
      <c r="G855" s="3" t="str">
        <f t="shared" si="79"/>
        <v>Sep</v>
      </c>
      <c r="H855" s="3" t="str">
        <f t="shared" si="80"/>
        <v>Q3</v>
      </c>
      <c r="I855" s="3">
        <f t="shared" si="81"/>
        <v>6.6055930312659663E-3</v>
      </c>
      <c r="J855" s="3">
        <f t="shared" si="82"/>
        <v>-1.9828010633379464E-2</v>
      </c>
      <c r="K855" s="3" t="str">
        <f t="shared" si="83"/>
        <v>Normal</v>
      </c>
      <c r="L855" s="4">
        <f>VALUE(A855)</f>
        <v>42632</v>
      </c>
    </row>
    <row r="856" spans="1:12">
      <c r="A856" s="5">
        <v>42633</v>
      </c>
      <c r="B856" s="3">
        <v>780.21997099999999</v>
      </c>
      <c r="C856" s="3">
        <v>148.44065900000001</v>
      </c>
      <c r="D856" s="3">
        <v>597.15997300000004</v>
      </c>
      <c r="E856" s="3">
        <v>98.25</v>
      </c>
      <c r="F856" s="3">
        <f t="shared" si="78"/>
        <v>2016</v>
      </c>
      <c r="G856" s="3" t="str">
        <f t="shared" si="79"/>
        <v>Sep</v>
      </c>
      <c r="H856" s="3" t="str">
        <f t="shared" si="80"/>
        <v>Q3</v>
      </c>
      <c r="I856" s="3">
        <f t="shared" si="81"/>
        <v>1.2201711509381562E-2</v>
      </c>
      <c r="J856" s="3">
        <f t="shared" si="82"/>
        <v>-2.5620739319044301E-3</v>
      </c>
      <c r="K856" s="3" t="str">
        <f t="shared" si="83"/>
        <v>Normal</v>
      </c>
      <c r="L856" s="4">
        <f>VALUE(A856)</f>
        <v>42633</v>
      </c>
    </row>
    <row r="857" spans="1:12">
      <c r="A857" s="5">
        <v>42634</v>
      </c>
      <c r="B857" s="3">
        <v>789.73999000000003</v>
      </c>
      <c r="C857" s="3">
        <v>149.09522999999999</v>
      </c>
      <c r="D857" s="3">
        <v>595.63000499999998</v>
      </c>
      <c r="E857" s="3">
        <v>94.879997000000003</v>
      </c>
      <c r="F857" s="3">
        <f t="shared" si="78"/>
        <v>2016</v>
      </c>
      <c r="G857" s="3" t="str">
        <f t="shared" si="79"/>
        <v>Sep</v>
      </c>
      <c r="H857" s="3" t="str">
        <f t="shared" si="80"/>
        <v>Q3</v>
      </c>
      <c r="I857" s="3">
        <f t="shared" si="81"/>
        <v>1.8942971344277474E-2</v>
      </c>
      <c r="J857" s="3">
        <f t="shared" si="82"/>
        <v>1.223910471065006E-2</v>
      </c>
      <c r="K857" s="3" t="str">
        <f t="shared" si="83"/>
        <v>Normal</v>
      </c>
      <c r="L857" s="4">
        <f>VALUE(A857)</f>
        <v>42634</v>
      </c>
    </row>
    <row r="858" spans="1:12">
      <c r="A858" s="5">
        <v>42635</v>
      </c>
      <c r="B858" s="3">
        <v>804.70001200000002</v>
      </c>
      <c r="C858" s="3">
        <v>150.531387</v>
      </c>
      <c r="D858" s="3">
        <v>602.919983</v>
      </c>
      <c r="E858" s="3">
        <v>95.830001999999993</v>
      </c>
      <c r="F858" s="3">
        <f t="shared" si="78"/>
        <v>2016</v>
      </c>
      <c r="G858" s="3" t="str">
        <f t="shared" si="79"/>
        <v>Sep</v>
      </c>
      <c r="H858" s="3" t="str">
        <f t="shared" si="80"/>
        <v>Q3</v>
      </c>
      <c r="I858" s="3">
        <f t="shared" si="81"/>
        <v>1.3048191678167701E-3</v>
      </c>
      <c r="J858" s="3">
        <f t="shared" si="82"/>
        <v>-5.4726333394731477E-4</v>
      </c>
      <c r="K858" s="3" t="str">
        <f t="shared" si="83"/>
        <v>Normal</v>
      </c>
      <c r="L858" s="4">
        <f>VALUE(A858)</f>
        <v>42635</v>
      </c>
    </row>
    <row r="859" spans="1:12">
      <c r="A859" s="5">
        <v>42636</v>
      </c>
      <c r="B859" s="3">
        <v>805.75</v>
      </c>
      <c r="C859" s="3">
        <v>150.70721399999999</v>
      </c>
      <c r="D859" s="3">
        <v>602.59002699999996</v>
      </c>
      <c r="E859" s="3">
        <v>95.940002000000007</v>
      </c>
      <c r="F859" s="3">
        <f t="shared" si="78"/>
        <v>2016</v>
      </c>
      <c r="G859" s="3" t="str">
        <f t="shared" si="79"/>
        <v>Sep</v>
      </c>
      <c r="H859" s="3" t="str">
        <f t="shared" si="80"/>
        <v>Q3</v>
      </c>
      <c r="I859" s="3">
        <f t="shared" si="81"/>
        <v>-8.1787489916226672E-3</v>
      </c>
      <c r="J859" s="3">
        <f t="shared" si="82"/>
        <v>4.7792759105852629E-3</v>
      </c>
      <c r="K859" s="3" t="str">
        <f t="shared" si="83"/>
        <v>Normal</v>
      </c>
      <c r="L859" s="4">
        <f>VALUE(A859)</f>
        <v>42636</v>
      </c>
    </row>
    <row r="860" spans="1:12">
      <c r="A860" s="5">
        <v>42639</v>
      </c>
      <c r="B860" s="3">
        <v>799.15997300000004</v>
      </c>
      <c r="C860" s="3">
        <v>149.95498699999999</v>
      </c>
      <c r="D860" s="3">
        <v>605.46997099999999</v>
      </c>
      <c r="E860" s="3">
        <v>94.559997999999993</v>
      </c>
      <c r="F860" s="3">
        <f t="shared" si="78"/>
        <v>2016</v>
      </c>
      <c r="G860" s="3" t="str">
        <f t="shared" si="79"/>
        <v>Sep</v>
      </c>
      <c r="H860" s="3" t="str">
        <f t="shared" si="80"/>
        <v>Q3</v>
      </c>
      <c r="I860" s="3">
        <f t="shared" si="81"/>
        <v>2.1209785991120972E-2</v>
      </c>
      <c r="J860" s="3">
        <f t="shared" si="82"/>
        <v>-1.321267838731485E-3</v>
      </c>
      <c r="K860" s="3" t="str">
        <f t="shared" si="83"/>
        <v>Normal</v>
      </c>
      <c r="L860" s="4">
        <f>VALUE(A860)</f>
        <v>42639</v>
      </c>
    </row>
    <row r="861" spans="1:12">
      <c r="A861" s="5">
        <v>42640</v>
      </c>
      <c r="B861" s="3">
        <v>816.10998500000005</v>
      </c>
      <c r="C861" s="3">
        <v>150.09175099999999</v>
      </c>
      <c r="D861" s="3">
        <v>604.669983</v>
      </c>
      <c r="E861" s="3">
        <v>97.07</v>
      </c>
      <c r="F861" s="3">
        <f t="shared" si="78"/>
        <v>2016</v>
      </c>
      <c r="G861" s="3" t="str">
        <f t="shared" si="79"/>
        <v>Sep</v>
      </c>
      <c r="H861" s="3" t="str">
        <f t="shared" si="80"/>
        <v>Q3</v>
      </c>
      <c r="I861" s="3">
        <f t="shared" si="81"/>
        <v>1.5451331599624939E-2</v>
      </c>
      <c r="J861" s="3">
        <f t="shared" si="82"/>
        <v>4.9661800394039381E-5</v>
      </c>
      <c r="K861" s="3" t="str">
        <f t="shared" si="83"/>
        <v>Normal</v>
      </c>
      <c r="L861" s="4">
        <f>VALUE(A861)</f>
        <v>42640</v>
      </c>
    </row>
    <row r="862" spans="1:12">
      <c r="A862" s="5">
        <v>42641</v>
      </c>
      <c r="B862" s="3">
        <v>828.71997099999999</v>
      </c>
      <c r="C862" s="3">
        <v>149.261337</v>
      </c>
      <c r="D862" s="3">
        <v>604.70001200000002</v>
      </c>
      <c r="E862" s="3">
        <v>97.480002999999996</v>
      </c>
      <c r="F862" s="3">
        <f t="shared" si="78"/>
        <v>2016</v>
      </c>
      <c r="G862" s="3" t="str">
        <f t="shared" si="79"/>
        <v>Sep</v>
      </c>
      <c r="H862" s="3" t="str">
        <f t="shared" si="80"/>
        <v>Q3</v>
      </c>
      <c r="I862" s="3">
        <f t="shared" si="81"/>
        <v>3.982249873884094E-4</v>
      </c>
      <c r="J862" s="3">
        <f t="shared" si="82"/>
        <v>5.6887761397959643E-3</v>
      </c>
      <c r="K862" s="3" t="str">
        <f t="shared" si="83"/>
        <v>Normal</v>
      </c>
      <c r="L862" s="4">
        <f>VALUE(A862)</f>
        <v>42641</v>
      </c>
    </row>
    <row r="863" spans="1:12">
      <c r="A863" s="5">
        <v>42642</v>
      </c>
      <c r="B863" s="3">
        <v>829.04998799999998</v>
      </c>
      <c r="C863" s="3">
        <v>148.255066</v>
      </c>
      <c r="D863" s="3">
        <v>608.14001499999995</v>
      </c>
      <c r="E863" s="3">
        <v>96.669998000000007</v>
      </c>
      <c r="F863" s="3">
        <f t="shared" si="78"/>
        <v>2016</v>
      </c>
      <c r="G863" s="3" t="str">
        <f t="shared" si="79"/>
        <v>Sep</v>
      </c>
      <c r="H863" s="3" t="str">
        <f t="shared" si="80"/>
        <v>Q3</v>
      </c>
      <c r="I863" s="3">
        <f t="shared" si="81"/>
        <v>9.9632231102570936E-3</v>
      </c>
      <c r="J863" s="3">
        <f t="shared" si="82"/>
        <v>8.6656984740596105E-3</v>
      </c>
      <c r="K863" s="3" t="str">
        <f t="shared" si="83"/>
        <v>Normal</v>
      </c>
      <c r="L863" s="4">
        <f>VALUE(A863)</f>
        <v>42642</v>
      </c>
    </row>
    <row r="864" spans="1:12">
      <c r="A864" s="5">
        <v>42643</v>
      </c>
      <c r="B864" s="3">
        <v>837.30999799999995</v>
      </c>
      <c r="C864" s="3">
        <v>148.352722</v>
      </c>
      <c r="D864" s="3">
        <v>613.40997300000004</v>
      </c>
      <c r="E864" s="3">
        <v>98.550003000000004</v>
      </c>
      <c r="F864" s="3">
        <f t="shared" si="78"/>
        <v>2016</v>
      </c>
      <c r="G864" s="3" t="str">
        <f t="shared" si="79"/>
        <v>Sep</v>
      </c>
      <c r="H864" s="3" t="str">
        <f t="shared" si="80"/>
        <v>Q3</v>
      </c>
      <c r="I864" s="3">
        <f t="shared" si="81"/>
        <v>-6.8076101009355934E-4</v>
      </c>
      <c r="J864" s="3">
        <f t="shared" si="82"/>
        <v>-7.2544484046072975E-3</v>
      </c>
      <c r="K864" s="3" t="str">
        <f t="shared" si="83"/>
        <v>Normal</v>
      </c>
      <c r="L864" s="4">
        <f>VALUE(A864)</f>
        <v>42643</v>
      </c>
    </row>
    <row r="865" spans="1:12">
      <c r="A865" s="5">
        <v>42646</v>
      </c>
      <c r="B865" s="3">
        <v>836.73999000000003</v>
      </c>
      <c r="C865" s="3">
        <v>148.088989</v>
      </c>
      <c r="D865" s="3">
        <v>608.96002199999998</v>
      </c>
      <c r="E865" s="3">
        <v>102.629997</v>
      </c>
      <c r="F865" s="3">
        <f t="shared" si="78"/>
        <v>2016</v>
      </c>
      <c r="G865" s="3" t="str">
        <f t="shared" si="79"/>
        <v>Oct</v>
      </c>
      <c r="H865" s="3" t="str">
        <f t="shared" si="80"/>
        <v>Q4</v>
      </c>
      <c r="I865" s="3">
        <f t="shared" si="81"/>
        <v>-3.2387133785729797E-3</v>
      </c>
      <c r="J865" s="3">
        <f t="shared" si="82"/>
        <v>4.6965069900763564E-3</v>
      </c>
      <c r="K865" s="3" t="str">
        <f t="shared" si="83"/>
        <v>Normal</v>
      </c>
      <c r="L865" s="4">
        <f>VALUE(A865)</f>
        <v>42646</v>
      </c>
    </row>
    <row r="866" spans="1:12">
      <c r="A866" s="5">
        <v>42647</v>
      </c>
      <c r="B866" s="3">
        <v>834.03002900000001</v>
      </c>
      <c r="C866" s="3">
        <v>147.98149100000001</v>
      </c>
      <c r="D866" s="3">
        <v>611.82000700000003</v>
      </c>
      <c r="E866" s="3">
        <v>102.339996</v>
      </c>
      <c r="F866" s="3">
        <f t="shared" si="78"/>
        <v>2016</v>
      </c>
      <c r="G866" s="3" t="str">
        <f t="shared" si="79"/>
        <v>Oct</v>
      </c>
      <c r="H866" s="3" t="str">
        <f t="shared" si="80"/>
        <v>Q4</v>
      </c>
      <c r="I866" s="3">
        <f t="shared" si="81"/>
        <v>1.2385592413723556E-2</v>
      </c>
      <c r="J866" s="3">
        <f t="shared" si="82"/>
        <v>-1.3893563307419685E-3</v>
      </c>
      <c r="K866" s="3" t="str">
        <f t="shared" si="83"/>
        <v>Normal</v>
      </c>
      <c r="L866" s="4">
        <f>VALUE(A866)</f>
        <v>42647</v>
      </c>
    </row>
    <row r="867" spans="1:12">
      <c r="A867" s="5">
        <v>42648</v>
      </c>
      <c r="B867" s="3">
        <v>844.35998500000005</v>
      </c>
      <c r="C867" s="3">
        <v>147.493011</v>
      </c>
      <c r="D867" s="3">
        <v>610.96997099999999</v>
      </c>
      <c r="E867" s="3">
        <v>106.279999</v>
      </c>
      <c r="F867" s="3">
        <f t="shared" si="78"/>
        <v>2016</v>
      </c>
      <c r="G867" s="3" t="str">
        <f t="shared" si="79"/>
        <v>Oct</v>
      </c>
      <c r="H867" s="3" t="str">
        <f t="shared" si="80"/>
        <v>Q4</v>
      </c>
      <c r="I867" s="3">
        <f t="shared" si="81"/>
        <v>-3.1977024586261216E-3</v>
      </c>
      <c r="J867" s="3">
        <f t="shared" si="82"/>
        <v>8.2820076929771506E-3</v>
      </c>
      <c r="K867" s="3" t="str">
        <f t="shared" si="83"/>
        <v>Normal</v>
      </c>
      <c r="L867" s="4">
        <f>VALUE(A867)</f>
        <v>42648</v>
      </c>
    </row>
    <row r="868" spans="1:12">
      <c r="A868" s="5">
        <v>42649</v>
      </c>
      <c r="B868" s="3">
        <v>841.65997300000004</v>
      </c>
      <c r="C868" s="3">
        <v>147.64932300000001</v>
      </c>
      <c r="D868" s="3">
        <v>616.03002900000001</v>
      </c>
      <c r="E868" s="3">
        <v>105.07</v>
      </c>
      <c r="F868" s="3">
        <f t="shared" si="78"/>
        <v>2016</v>
      </c>
      <c r="G868" s="3" t="str">
        <f t="shared" si="79"/>
        <v>Oct</v>
      </c>
      <c r="H868" s="3" t="str">
        <f t="shared" si="80"/>
        <v>Q4</v>
      </c>
      <c r="I868" s="3">
        <f t="shared" si="81"/>
        <v>-2.6495022592693362E-3</v>
      </c>
      <c r="J868" s="3">
        <f t="shared" si="82"/>
        <v>2.6297338177324746E-3</v>
      </c>
      <c r="K868" s="3" t="str">
        <f t="shared" si="83"/>
        <v>Normal</v>
      </c>
      <c r="L868" s="4">
        <f>VALUE(A868)</f>
        <v>42649</v>
      </c>
    </row>
    <row r="869" spans="1:12">
      <c r="A869" s="5">
        <v>42650</v>
      </c>
      <c r="B869" s="3">
        <v>839.42999299999997</v>
      </c>
      <c r="C869" s="3">
        <v>147.366028</v>
      </c>
      <c r="D869" s="3">
        <v>617.65002400000003</v>
      </c>
      <c r="E869" s="3">
        <v>104.82</v>
      </c>
      <c r="F869" s="3">
        <f t="shared" si="78"/>
        <v>2016</v>
      </c>
      <c r="G869" s="3" t="str">
        <f t="shared" si="79"/>
        <v>Oct</v>
      </c>
      <c r="H869" s="3" t="str">
        <f t="shared" si="80"/>
        <v>Q4</v>
      </c>
      <c r="I869" s="3">
        <f t="shared" si="81"/>
        <v>2.7161633715892413E-3</v>
      </c>
      <c r="J869" s="3">
        <f t="shared" si="82"/>
        <v>3.69140890699617E-2</v>
      </c>
      <c r="K869" s="3" t="str">
        <f t="shared" si="83"/>
        <v>Normal</v>
      </c>
      <c r="L869" s="4">
        <f>VALUE(A869)</f>
        <v>42650</v>
      </c>
    </row>
    <row r="870" spans="1:12">
      <c r="A870" s="5">
        <v>42653</v>
      </c>
      <c r="B870" s="3">
        <v>841.71002199999998</v>
      </c>
      <c r="C870" s="3">
        <v>149.66189600000001</v>
      </c>
      <c r="D870" s="3">
        <v>640.45001200000002</v>
      </c>
      <c r="E870" s="3">
        <v>103.33000199999999</v>
      </c>
      <c r="F870" s="3">
        <f t="shared" si="78"/>
        <v>2016</v>
      </c>
      <c r="G870" s="3" t="str">
        <f t="shared" si="79"/>
        <v>Oct</v>
      </c>
      <c r="H870" s="3" t="str">
        <f t="shared" si="80"/>
        <v>Q4</v>
      </c>
      <c r="I870" s="3">
        <f t="shared" si="81"/>
        <v>-1.2724123177898885E-2</v>
      </c>
      <c r="J870" s="3">
        <f t="shared" si="82"/>
        <v>-6.9638877608452299E-3</v>
      </c>
      <c r="K870" s="3" t="str">
        <f t="shared" si="83"/>
        <v>Normal</v>
      </c>
      <c r="L870" s="4">
        <f>VALUE(A870)</f>
        <v>42653</v>
      </c>
    </row>
    <row r="871" spans="1:12">
      <c r="A871" s="5">
        <v>42654</v>
      </c>
      <c r="B871" s="3">
        <v>831</v>
      </c>
      <c r="C871" s="3">
        <v>148.870544</v>
      </c>
      <c r="D871" s="3">
        <v>635.98999000000003</v>
      </c>
      <c r="E871" s="3">
        <v>100.589996</v>
      </c>
      <c r="F871" s="3">
        <f t="shared" si="78"/>
        <v>2016</v>
      </c>
      <c r="G871" s="3" t="str">
        <f t="shared" si="79"/>
        <v>Oct</v>
      </c>
      <c r="H871" s="3" t="str">
        <f t="shared" si="80"/>
        <v>Q4</v>
      </c>
      <c r="I871" s="3">
        <f t="shared" si="81"/>
        <v>3.7184440433212559E-3</v>
      </c>
      <c r="J871" s="3">
        <f t="shared" si="82"/>
        <v>-6.1323921151662259E-4</v>
      </c>
      <c r="K871" s="3" t="str">
        <f t="shared" si="83"/>
        <v>Normal</v>
      </c>
      <c r="L871" s="4">
        <f>VALUE(A871)</f>
        <v>42654</v>
      </c>
    </row>
    <row r="872" spans="1:12">
      <c r="A872" s="5">
        <v>42655</v>
      </c>
      <c r="B872" s="3">
        <v>834.09002699999996</v>
      </c>
      <c r="C872" s="3">
        <v>148.73374899999999</v>
      </c>
      <c r="D872" s="3">
        <v>635.59997599999997</v>
      </c>
      <c r="E872" s="3">
        <v>99.5</v>
      </c>
      <c r="F872" s="3">
        <f t="shared" si="78"/>
        <v>2016</v>
      </c>
      <c r="G872" s="3" t="str">
        <f t="shared" si="79"/>
        <v>Oct</v>
      </c>
      <c r="H872" s="3" t="str">
        <f t="shared" si="80"/>
        <v>Q4</v>
      </c>
      <c r="I872" s="3">
        <f t="shared" si="81"/>
        <v>-5.7667611939927329E-3</v>
      </c>
      <c r="J872" s="3">
        <f t="shared" si="82"/>
        <v>3.6501055500355031E-3</v>
      </c>
      <c r="K872" s="3" t="str">
        <f t="shared" si="83"/>
        <v>Normal</v>
      </c>
      <c r="L872" s="4">
        <f>VALUE(A872)</f>
        <v>42655</v>
      </c>
    </row>
    <row r="873" spans="1:12">
      <c r="A873" s="5">
        <v>42656</v>
      </c>
      <c r="B873" s="3">
        <v>829.28002900000001</v>
      </c>
      <c r="C873" s="3">
        <v>146.848221</v>
      </c>
      <c r="D873" s="3">
        <v>637.919983</v>
      </c>
      <c r="E873" s="3">
        <v>100.230003</v>
      </c>
      <c r="F873" s="3">
        <f t="shared" si="78"/>
        <v>2016</v>
      </c>
      <c r="G873" s="3" t="str">
        <f t="shared" si="79"/>
        <v>Oct</v>
      </c>
      <c r="H873" s="3" t="str">
        <f t="shared" si="80"/>
        <v>Q4</v>
      </c>
      <c r="I873" s="3">
        <f t="shared" si="81"/>
        <v>-7.6210770535751465E-3</v>
      </c>
      <c r="J873" s="3">
        <f t="shared" si="82"/>
        <v>-1.3950871954421732E-3</v>
      </c>
      <c r="K873" s="3" t="str">
        <f t="shared" si="83"/>
        <v>Normal</v>
      </c>
      <c r="L873" s="4">
        <f>VALUE(A873)</f>
        <v>42656</v>
      </c>
    </row>
    <row r="874" spans="1:12">
      <c r="A874" s="5">
        <v>42657</v>
      </c>
      <c r="B874" s="3">
        <v>822.96002199999998</v>
      </c>
      <c r="C874" s="3">
        <v>147.639557</v>
      </c>
      <c r="D874" s="3">
        <v>637.03002900000001</v>
      </c>
      <c r="E874" s="3">
        <v>101.470001</v>
      </c>
      <c r="F874" s="3">
        <f t="shared" si="78"/>
        <v>2016</v>
      </c>
      <c r="G874" s="3" t="str">
        <f t="shared" si="79"/>
        <v>Oct</v>
      </c>
      <c r="H874" s="3" t="str">
        <f t="shared" si="80"/>
        <v>Q4</v>
      </c>
      <c r="I874" s="3">
        <f t="shared" si="81"/>
        <v>-1.2163421955386267E-2</v>
      </c>
      <c r="J874" s="3">
        <f t="shared" si="82"/>
        <v>-2.652939301233552E-3</v>
      </c>
      <c r="K874" s="3" t="str">
        <f t="shared" si="83"/>
        <v>Normal</v>
      </c>
      <c r="L874" s="4">
        <f>VALUE(A874)</f>
        <v>42657</v>
      </c>
    </row>
    <row r="875" spans="1:12">
      <c r="A875" s="5">
        <v>42660</v>
      </c>
      <c r="B875" s="3">
        <v>812.95001200000002</v>
      </c>
      <c r="C875" s="3">
        <v>148.50904800000001</v>
      </c>
      <c r="D875" s="3">
        <v>635.34002699999996</v>
      </c>
      <c r="E875" s="3">
        <v>99.800003000000004</v>
      </c>
      <c r="F875" s="3">
        <f t="shared" si="78"/>
        <v>2016</v>
      </c>
      <c r="G875" s="3" t="str">
        <f t="shared" si="79"/>
        <v>Oct</v>
      </c>
      <c r="H875" s="3" t="str">
        <f t="shared" si="80"/>
        <v>Q4</v>
      </c>
      <c r="I875" s="3">
        <f t="shared" si="81"/>
        <v>5.781428046771485E-3</v>
      </c>
      <c r="J875" s="3">
        <f t="shared" si="82"/>
        <v>-9.8845165314919055E-3</v>
      </c>
      <c r="K875" s="3" t="str">
        <f t="shared" si="83"/>
        <v>Normal</v>
      </c>
      <c r="L875" s="4">
        <f>VALUE(A875)</f>
        <v>42660</v>
      </c>
    </row>
    <row r="876" spans="1:12">
      <c r="A876" s="5">
        <v>42661</v>
      </c>
      <c r="B876" s="3">
        <v>817.65002400000003</v>
      </c>
      <c r="C876" s="3">
        <v>155.77771000000001</v>
      </c>
      <c r="D876" s="3">
        <v>629.05999799999995</v>
      </c>
      <c r="E876" s="3">
        <v>118.790001</v>
      </c>
      <c r="F876" s="3">
        <f t="shared" si="78"/>
        <v>2016</v>
      </c>
      <c r="G876" s="3" t="str">
        <f t="shared" si="79"/>
        <v>Oct</v>
      </c>
      <c r="H876" s="3" t="str">
        <f t="shared" si="80"/>
        <v>Q4</v>
      </c>
      <c r="I876" s="3">
        <f t="shared" si="81"/>
        <v>4.8893779522495511E-5</v>
      </c>
      <c r="J876" s="3">
        <f t="shared" si="82"/>
        <v>-1.1445188094760825E-3</v>
      </c>
      <c r="K876" s="3" t="str">
        <f t="shared" si="83"/>
        <v>Normal</v>
      </c>
      <c r="L876" s="4">
        <f>VALUE(A876)</f>
        <v>42661</v>
      </c>
    </row>
    <row r="877" spans="1:12">
      <c r="A877" s="5">
        <v>42662</v>
      </c>
      <c r="B877" s="3">
        <v>817.69000200000005</v>
      </c>
      <c r="C877" s="3">
        <v>161.21942100000001</v>
      </c>
      <c r="D877" s="3">
        <v>628.34002699999996</v>
      </c>
      <c r="E877" s="3">
        <v>121.870003</v>
      </c>
      <c r="F877" s="3">
        <f t="shared" si="78"/>
        <v>2016</v>
      </c>
      <c r="G877" s="3" t="str">
        <f t="shared" si="79"/>
        <v>Oct</v>
      </c>
      <c r="H877" s="3" t="str">
        <f t="shared" si="80"/>
        <v>Q4</v>
      </c>
      <c r="I877" s="3">
        <f t="shared" si="81"/>
        <v>-9.0131895730333478E-3</v>
      </c>
      <c r="J877" s="3">
        <f t="shared" si="82"/>
        <v>3.3580305397288525E-3</v>
      </c>
      <c r="K877" s="3" t="str">
        <f t="shared" si="83"/>
        <v>Normal</v>
      </c>
      <c r="L877" s="4">
        <f>VALUE(A877)</f>
        <v>42662</v>
      </c>
    </row>
    <row r="878" spans="1:12">
      <c r="A878" s="5">
        <v>42663</v>
      </c>
      <c r="B878" s="3">
        <v>810.32000700000003</v>
      </c>
      <c r="C878" s="3">
        <v>161.59068300000001</v>
      </c>
      <c r="D878" s="3">
        <v>630.45001200000002</v>
      </c>
      <c r="E878" s="3">
        <v>123.349998</v>
      </c>
      <c r="F878" s="3">
        <f t="shared" si="78"/>
        <v>2016</v>
      </c>
      <c r="G878" s="3" t="str">
        <f t="shared" si="79"/>
        <v>Oct</v>
      </c>
      <c r="H878" s="3" t="str">
        <f t="shared" si="80"/>
        <v>Q4</v>
      </c>
      <c r="I878" s="3">
        <f t="shared" si="81"/>
        <v>1.0699455678131863E-2</v>
      </c>
      <c r="J878" s="3">
        <f t="shared" si="82"/>
        <v>3.9701748788292419E-2</v>
      </c>
      <c r="K878" s="3" t="str">
        <f t="shared" si="83"/>
        <v>Normal</v>
      </c>
      <c r="L878" s="4">
        <f>VALUE(A878)</f>
        <v>42663</v>
      </c>
    </row>
    <row r="879" spans="1:12">
      <c r="A879" s="5">
        <v>42664</v>
      </c>
      <c r="B879" s="3">
        <v>818.98999000000003</v>
      </c>
      <c r="C879" s="3">
        <v>162.528549</v>
      </c>
      <c r="D879" s="3">
        <v>655.47997999999995</v>
      </c>
      <c r="E879" s="3">
        <v>127.5</v>
      </c>
      <c r="F879" s="3">
        <f t="shared" si="78"/>
        <v>2016</v>
      </c>
      <c r="G879" s="3" t="str">
        <f t="shared" si="79"/>
        <v>Oct</v>
      </c>
      <c r="H879" s="3" t="str">
        <f t="shared" si="80"/>
        <v>Q4</v>
      </c>
      <c r="I879" s="3">
        <f t="shared" si="81"/>
        <v>2.3321453538156098E-2</v>
      </c>
      <c r="J879" s="3">
        <f t="shared" si="82"/>
        <v>-6.8346557281580974E-3</v>
      </c>
      <c r="K879" s="3" t="str">
        <f t="shared" si="83"/>
        <v>Normal</v>
      </c>
      <c r="L879" s="4">
        <f>VALUE(A879)</f>
        <v>42664</v>
      </c>
    </row>
    <row r="880" spans="1:12">
      <c r="A880" s="5">
        <v>42667</v>
      </c>
      <c r="B880" s="3">
        <v>838.09002699999996</v>
      </c>
      <c r="C880" s="3">
        <v>162.69464099999999</v>
      </c>
      <c r="D880" s="3">
        <v>651</v>
      </c>
      <c r="E880" s="3">
        <v>127.33000199999999</v>
      </c>
      <c r="F880" s="3">
        <f t="shared" si="78"/>
        <v>2016</v>
      </c>
      <c r="G880" s="3" t="str">
        <f t="shared" si="79"/>
        <v>Oct</v>
      </c>
      <c r="H880" s="3" t="str">
        <f t="shared" si="80"/>
        <v>Q4</v>
      </c>
      <c r="I880" s="3">
        <f t="shared" si="81"/>
        <v>-3.4722212486129442E-3</v>
      </c>
      <c r="J880" s="3">
        <f t="shared" si="82"/>
        <v>3.6359420890937022E-2</v>
      </c>
      <c r="K880" s="3" t="str">
        <f t="shared" si="83"/>
        <v>Normal</v>
      </c>
      <c r="L880" s="4">
        <f>VALUE(A880)</f>
        <v>42667</v>
      </c>
    </row>
    <row r="881" spans="1:12">
      <c r="A881" s="5">
        <v>42668</v>
      </c>
      <c r="B881" s="3">
        <v>835.17999299999997</v>
      </c>
      <c r="C881" s="3">
        <v>161.092422</v>
      </c>
      <c r="D881" s="3">
        <v>674.669983</v>
      </c>
      <c r="E881" s="3">
        <v>126.510002</v>
      </c>
      <c r="F881" s="3">
        <f t="shared" si="78"/>
        <v>2016</v>
      </c>
      <c r="G881" s="3" t="str">
        <f t="shared" si="79"/>
        <v>Oct</v>
      </c>
      <c r="H881" s="3" t="str">
        <f t="shared" si="80"/>
        <v>Q4</v>
      </c>
      <c r="I881" s="3">
        <f t="shared" si="81"/>
        <v>-1.5074554114708066E-2</v>
      </c>
      <c r="J881" s="3">
        <f t="shared" si="82"/>
        <v>1.1309240357889144E-2</v>
      </c>
      <c r="K881" s="3" t="str">
        <f t="shared" si="83"/>
        <v>Normal</v>
      </c>
      <c r="L881" s="4">
        <f>VALUE(A881)</f>
        <v>42668</v>
      </c>
    </row>
    <row r="882" spans="1:12">
      <c r="A882" s="5">
        <v>42669</v>
      </c>
      <c r="B882" s="3">
        <v>822.59002699999996</v>
      </c>
      <c r="C882" s="3">
        <v>161.00451699999999</v>
      </c>
      <c r="D882" s="3">
        <v>682.29998799999998</v>
      </c>
      <c r="E882" s="3">
        <v>126.970001</v>
      </c>
      <c r="F882" s="3">
        <f t="shared" si="78"/>
        <v>2016</v>
      </c>
      <c r="G882" s="3" t="str">
        <f t="shared" si="79"/>
        <v>Oct</v>
      </c>
      <c r="H882" s="3" t="str">
        <f t="shared" si="80"/>
        <v>Q4</v>
      </c>
      <c r="I882" s="3">
        <f t="shared" si="81"/>
        <v>-5.1423453496354053E-3</v>
      </c>
      <c r="J882" s="3">
        <f t="shared" si="82"/>
        <v>5.7745889920784365E-3</v>
      </c>
      <c r="K882" s="3" t="str">
        <f t="shared" si="83"/>
        <v>Normal</v>
      </c>
      <c r="L882" s="4">
        <f>VALUE(A882)</f>
        <v>42669</v>
      </c>
    </row>
    <row r="883" spans="1:12">
      <c r="A883" s="5">
        <v>42670</v>
      </c>
      <c r="B883" s="3">
        <v>818.35998500000005</v>
      </c>
      <c r="C883" s="3">
        <v>162.118225</v>
      </c>
      <c r="D883" s="3">
        <v>686.23999000000003</v>
      </c>
      <c r="E883" s="3">
        <v>126.470001</v>
      </c>
      <c r="F883" s="3">
        <f t="shared" si="78"/>
        <v>2016</v>
      </c>
      <c r="G883" s="3" t="str">
        <f t="shared" si="79"/>
        <v>Oct</v>
      </c>
      <c r="H883" s="3" t="str">
        <f t="shared" si="80"/>
        <v>Q4</v>
      </c>
      <c r="I883" s="3">
        <f t="shared" si="81"/>
        <v>-5.1371008810994122E-2</v>
      </c>
      <c r="J883" s="3">
        <f t="shared" si="82"/>
        <v>4.1836707884074169E-2</v>
      </c>
      <c r="K883" s="3" t="str">
        <f t="shared" si="83"/>
        <v>Normal</v>
      </c>
      <c r="L883" s="4">
        <f>VALUE(A883)</f>
        <v>42670</v>
      </c>
    </row>
    <row r="884" spans="1:12">
      <c r="A884" s="5">
        <v>42671</v>
      </c>
      <c r="B884" s="3">
        <v>776.32000700000003</v>
      </c>
      <c r="C884" s="3">
        <v>164.05261200000001</v>
      </c>
      <c r="D884" s="3">
        <v>714.95001200000002</v>
      </c>
      <c r="E884" s="3">
        <v>126.57</v>
      </c>
      <c r="F884" s="3">
        <f t="shared" si="78"/>
        <v>2016</v>
      </c>
      <c r="G884" s="3" t="str">
        <f t="shared" si="79"/>
        <v>Oct</v>
      </c>
      <c r="H884" s="3" t="str">
        <f t="shared" si="80"/>
        <v>Q4</v>
      </c>
      <c r="I884" s="3">
        <f t="shared" si="81"/>
        <v>1.738973603445982E-2</v>
      </c>
      <c r="J884" s="3">
        <f t="shared" si="82"/>
        <v>-2.2770863314566969E-2</v>
      </c>
      <c r="K884" s="3" t="str">
        <f t="shared" si="83"/>
        <v>Normal</v>
      </c>
      <c r="L884" s="4">
        <f>VALUE(A884)</f>
        <v>42671</v>
      </c>
    </row>
    <row r="885" spans="1:12">
      <c r="A885" s="5">
        <v>42674</v>
      </c>
      <c r="B885" s="3">
        <v>789.82000700000003</v>
      </c>
      <c r="C885" s="3">
        <v>165.342209</v>
      </c>
      <c r="D885" s="3">
        <v>698.669983</v>
      </c>
      <c r="E885" s="3">
        <v>124.870003</v>
      </c>
      <c r="F885" s="3">
        <f t="shared" si="78"/>
        <v>2016</v>
      </c>
      <c r="G885" s="3" t="str">
        <f t="shared" si="79"/>
        <v>Oct</v>
      </c>
      <c r="H885" s="3" t="str">
        <f t="shared" si="80"/>
        <v>Q4</v>
      </c>
      <c r="I885" s="3">
        <f t="shared" si="81"/>
        <v>-5.5835936807308506E-3</v>
      </c>
      <c r="J885" s="3">
        <f t="shared" si="82"/>
        <v>4.0205000477313999E-2</v>
      </c>
      <c r="K885" s="3" t="str">
        <f t="shared" si="83"/>
        <v>Normal</v>
      </c>
      <c r="L885" s="4">
        <f>VALUE(A885)</f>
        <v>42674</v>
      </c>
    </row>
    <row r="886" spans="1:12">
      <c r="A886" s="5">
        <v>42675</v>
      </c>
      <c r="B886" s="3">
        <v>785.40997300000004</v>
      </c>
      <c r="C886" s="3">
        <v>163.70091199999999</v>
      </c>
      <c r="D886" s="3">
        <v>726.76000999999997</v>
      </c>
      <c r="E886" s="3">
        <v>123.300003</v>
      </c>
      <c r="F886" s="3">
        <f t="shared" si="78"/>
        <v>2016</v>
      </c>
      <c r="G886" s="3" t="str">
        <f t="shared" si="79"/>
        <v>Nov</v>
      </c>
      <c r="H886" s="3" t="str">
        <f t="shared" si="80"/>
        <v>Q4</v>
      </c>
      <c r="I886" s="3">
        <f t="shared" si="81"/>
        <v>-2.5273393109817417E-2</v>
      </c>
      <c r="J886" s="3">
        <f t="shared" si="82"/>
        <v>9.2877977697204336E-3</v>
      </c>
      <c r="K886" s="3" t="str">
        <f t="shared" si="83"/>
        <v>Normal</v>
      </c>
      <c r="L886" s="4">
        <f>VALUE(A886)</f>
        <v>42675</v>
      </c>
    </row>
    <row r="887" spans="1:12">
      <c r="A887" s="5">
        <v>42676</v>
      </c>
      <c r="B887" s="3">
        <v>765.55999799999995</v>
      </c>
      <c r="C887" s="3">
        <v>163.398056</v>
      </c>
      <c r="D887" s="3">
        <v>733.51000999999997</v>
      </c>
      <c r="E887" s="3">
        <v>122.339996</v>
      </c>
      <c r="F887" s="3">
        <f t="shared" si="78"/>
        <v>2016</v>
      </c>
      <c r="G887" s="3" t="str">
        <f t="shared" si="79"/>
        <v>Nov</v>
      </c>
      <c r="H887" s="3" t="str">
        <f t="shared" si="80"/>
        <v>Q4</v>
      </c>
      <c r="I887" s="3">
        <f t="shared" si="81"/>
        <v>1.9202035161717825E-3</v>
      </c>
      <c r="J887" s="3">
        <f t="shared" si="82"/>
        <v>-6.6311317278410359E-2</v>
      </c>
      <c r="K887" s="3" t="str">
        <f t="shared" si="83"/>
        <v>High Volatility</v>
      </c>
      <c r="L887" s="4">
        <f>VALUE(A887)</f>
        <v>42676</v>
      </c>
    </row>
    <row r="888" spans="1:12">
      <c r="A888" s="5">
        <v>42677</v>
      </c>
      <c r="B888" s="3">
        <v>767.03002900000001</v>
      </c>
      <c r="C888" s="3">
        <v>162.34291099999999</v>
      </c>
      <c r="D888" s="3">
        <v>684.86999500000002</v>
      </c>
      <c r="E888" s="3">
        <v>122.139999</v>
      </c>
      <c r="F888" s="3">
        <f t="shared" si="78"/>
        <v>2016</v>
      </c>
      <c r="G888" s="3" t="str">
        <f t="shared" si="79"/>
        <v>Nov</v>
      </c>
      <c r="H888" s="3" t="str">
        <f t="shared" si="80"/>
        <v>Q4</v>
      </c>
      <c r="I888" s="3">
        <f t="shared" si="81"/>
        <v>-1.5618737920363777E-2</v>
      </c>
      <c r="J888" s="3">
        <f t="shared" si="82"/>
        <v>2.5128888877662073E-2</v>
      </c>
      <c r="K888" s="3" t="str">
        <f t="shared" si="83"/>
        <v>Normal</v>
      </c>
      <c r="L888" s="4">
        <f>VALUE(A888)</f>
        <v>42677</v>
      </c>
    </row>
    <row r="889" spans="1:12">
      <c r="A889" s="5">
        <v>42678</v>
      </c>
      <c r="B889" s="3">
        <v>755.04998799999998</v>
      </c>
      <c r="C889" s="3">
        <v>162.91935699999999</v>
      </c>
      <c r="D889" s="3">
        <v>702.080017</v>
      </c>
      <c r="E889" s="3">
        <v>122.029999</v>
      </c>
      <c r="F889" s="3">
        <f t="shared" si="78"/>
        <v>2016</v>
      </c>
      <c r="G889" s="3" t="str">
        <f t="shared" si="79"/>
        <v>Nov</v>
      </c>
      <c r="H889" s="3" t="str">
        <f t="shared" si="80"/>
        <v>Q4</v>
      </c>
      <c r="I889" s="3">
        <f t="shared" si="81"/>
        <v>3.9573545427299552E-2</v>
      </c>
      <c r="J889" s="3">
        <f t="shared" si="82"/>
        <v>4.7288156899643425E-3</v>
      </c>
      <c r="K889" s="3" t="str">
        <f t="shared" si="83"/>
        <v>Normal</v>
      </c>
      <c r="L889" s="4">
        <f>VALUE(A889)</f>
        <v>42678</v>
      </c>
    </row>
    <row r="890" spans="1:12">
      <c r="A890" s="5">
        <v>42681</v>
      </c>
      <c r="B890" s="3">
        <v>784.92999299999997</v>
      </c>
      <c r="C890" s="3">
        <v>164.33596800000001</v>
      </c>
      <c r="D890" s="3">
        <v>705.40002400000003</v>
      </c>
      <c r="E890" s="3">
        <v>124.58000199999999</v>
      </c>
      <c r="F890" s="3">
        <f t="shared" si="78"/>
        <v>2016</v>
      </c>
      <c r="G890" s="3" t="str">
        <f t="shared" si="79"/>
        <v>Nov</v>
      </c>
      <c r="H890" s="3" t="str">
        <f t="shared" si="80"/>
        <v>Q4</v>
      </c>
      <c r="I890" s="3">
        <f t="shared" si="81"/>
        <v>3.5926860040370917E-3</v>
      </c>
      <c r="J890" s="3">
        <f t="shared" si="82"/>
        <v>7.796994347706458E-3</v>
      </c>
      <c r="K890" s="3" t="str">
        <f t="shared" si="83"/>
        <v>Normal</v>
      </c>
      <c r="L890" s="4">
        <f>VALUE(A890)</f>
        <v>42681</v>
      </c>
    </row>
    <row r="891" spans="1:12">
      <c r="A891" s="5">
        <v>42682</v>
      </c>
      <c r="B891" s="3">
        <v>787.75</v>
      </c>
      <c r="C891" s="3">
        <v>165.00029000000001</v>
      </c>
      <c r="D891" s="3">
        <v>710.90002400000003</v>
      </c>
      <c r="E891" s="3">
        <v>124.339996</v>
      </c>
      <c r="F891" s="3">
        <f t="shared" si="78"/>
        <v>2016</v>
      </c>
      <c r="G891" s="3" t="str">
        <f t="shared" si="79"/>
        <v>Nov</v>
      </c>
      <c r="H891" s="3" t="str">
        <f t="shared" si="80"/>
        <v>Q4</v>
      </c>
      <c r="I891" s="3">
        <f t="shared" si="81"/>
        <v>-2.0145979054268508E-2</v>
      </c>
      <c r="J891" s="3">
        <f t="shared" si="82"/>
        <v>1.4798085025806627E-2</v>
      </c>
      <c r="K891" s="3" t="str">
        <f t="shared" si="83"/>
        <v>Normal</v>
      </c>
      <c r="L891" s="4">
        <f>VALUE(A891)</f>
        <v>42682</v>
      </c>
    </row>
    <row r="892" spans="1:12">
      <c r="A892" s="5">
        <v>42683</v>
      </c>
      <c r="B892" s="3">
        <v>771.88000499999998</v>
      </c>
      <c r="C892" s="3">
        <v>166.43644699999999</v>
      </c>
      <c r="D892" s="3">
        <v>721.419983</v>
      </c>
      <c r="E892" s="3">
        <v>122.19000200000001</v>
      </c>
      <c r="F892" s="3">
        <f t="shared" si="78"/>
        <v>2016</v>
      </c>
      <c r="G892" s="3" t="str">
        <f t="shared" si="79"/>
        <v>Nov</v>
      </c>
      <c r="H892" s="3" t="str">
        <f t="shared" si="80"/>
        <v>Q4</v>
      </c>
      <c r="I892" s="3">
        <f t="shared" si="81"/>
        <v>-3.8218375665787584E-2</v>
      </c>
      <c r="J892" s="3">
        <f t="shared" si="82"/>
        <v>-9.4951292747874564E-3</v>
      </c>
      <c r="K892" s="3" t="str">
        <f t="shared" si="83"/>
        <v>Normal</v>
      </c>
      <c r="L892" s="4">
        <f>VALUE(A892)</f>
        <v>42683</v>
      </c>
    </row>
    <row r="893" spans="1:12">
      <c r="A893" s="5">
        <v>42684</v>
      </c>
      <c r="B893" s="3">
        <v>742.38000499999998</v>
      </c>
      <c r="C893" s="3">
        <v>157.39948999999999</v>
      </c>
      <c r="D893" s="3">
        <v>714.57000700000003</v>
      </c>
      <c r="E893" s="3">
        <v>115.41999800000001</v>
      </c>
      <c r="F893" s="3">
        <f t="shared" si="78"/>
        <v>2016</v>
      </c>
      <c r="G893" s="3" t="str">
        <f t="shared" si="79"/>
        <v>Nov</v>
      </c>
      <c r="H893" s="3" t="str">
        <f t="shared" si="80"/>
        <v>Q4</v>
      </c>
      <c r="I893" s="3">
        <f t="shared" si="81"/>
        <v>-4.5394474222133947E-3</v>
      </c>
      <c r="J893" s="3">
        <f t="shared" si="82"/>
        <v>5.5972682323896428E-4</v>
      </c>
      <c r="K893" s="3" t="str">
        <f t="shared" si="83"/>
        <v>Normal</v>
      </c>
      <c r="L893" s="4">
        <f>VALUE(A893)</f>
        <v>42684</v>
      </c>
    </row>
    <row r="894" spans="1:12">
      <c r="A894" s="5">
        <v>42685</v>
      </c>
      <c r="B894" s="3">
        <v>739.01000999999997</v>
      </c>
      <c r="C894" s="3">
        <v>155.943771</v>
      </c>
      <c r="D894" s="3">
        <v>714.96997099999999</v>
      </c>
      <c r="E894" s="3">
        <v>114.779999</v>
      </c>
      <c r="F894" s="3">
        <f t="shared" si="78"/>
        <v>2016</v>
      </c>
      <c r="G894" s="3" t="str">
        <f t="shared" si="79"/>
        <v>Nov</v>
      </c>
      <c r="H894" s="3" t="str">
        <f t="shared" si="80"/>
        <v>Q4</v>
      </c>
      <c r="I894" s="3">
        <f t="shared" si="81"/>
        <v>-2.6982047239116468E-2</v>
      </c>
      <c r="J894" s="3">
        <f t="shared" si="82"/>
        <v>-1.4560014297439684E-2</v>
      </c>
      <c r="K894" s="3" t="str">
        <f t="shared" si="83"/>
        <v>Normal</v>
      </c>
      <c r="L894" s="4">
        <f>VALUE(A894)</f>
        <v>42685</v>
      </c>
    </row>
    <row r="895" spans="1:12">
      <c r="A895" s="5">
        <v>42688</v>
      </c>
      <c r="B895" s="3">
        <v>719.07000700000003</v>
      </c>
      <c r="C895" s="3">
        <v>153.55020099999999</v>
      </c>
      <c r="D895" s="3">
        <v>704.55999799999995</v>
      </c>
      <c r="E895" s="3">
        <v>113.379997</v>
      </c>
      <c r="F895" s="3">
        <f t="shared" si="78"/>
        <v>2016</v>
      </c>
      <c r="G895" s="3" t="str">
        <f t="shared" si="79"/>
        <v>Nov</v>
      </c>
      <c r="H895" s="3" t="str">
        <f t="shared" si="80"/>
        <v>Q4</v>
      </c>
      <c r="I895" s="3">
        <f t="shared" si="81"/>
        <v>3.3612837087780248E-2</v>
      </c>
      <c r="J895" s="3">
        <f t="shared" si="82"/>
        <v>9.2823578099306449E-3</v>
      </c>
      <c r="K895" s="3" t="str">
        <f t="shared" si="83"/>
        <v>Normal</v>
      </c>
      <c r="L895" s="4">
        <f>VALUE(A895)</f>
        <v>42688</v>
      </c>
    </row>
    <row r="896" spans="1:12">
      <c r="A896" s="5">
        <v>42689</v>
      </c>
      <c r="B896" s="3">
        <v>743.23999000000003</v>
      </c>
      <c r="C896" s="3">
        <v>157.624191</v>
      </c>
      <c r="D896" s="3">
        <v>711.09997599999997</v>
      </c>
      <c r="E896" s="3">
        <v>113.589996</v>
      </c>
      <c r="F896" s="3">
        <f t="shared" si="78"/>
        <v>2016</v>
      </c>
      <c r="G896" s="3" t="str">
        <f t="shared" si="79"/>
        <v>Nov</v>
      </c>
      <c r="H896" s="3" t="str">
        <f t="shared" si="80"/>
        <v>Q4</v>
      </c>
      <c r="I896" s="3">
        <f t="shared" si="81"/>
        <v>4.3727464126358433E-3</v>
      </c>
      <c r="J896" s="3">
        <f t="shared" si="82"/>
        <v>4.1035092089498321E-2</v>
      </c>
      <c r="K896" s="3" t="str">
        <f t="shared" si="83"/>
        <v>Normal</v>
      </c>
      <c r="L896" s="4">
        <f>VALUE(A896)</f>
        <v>42689</v>
      </c>
    </row>
    <row r="897" spans="1:12">
      <c r="A897" s="5">
        <v>42690</v>
      </c>
      <c r="B897" s="3">
        <v>746.48999000000003</v>
      </c>
      <c r="C897" s="3">
        <v>157.84889200000001</v>
      </c>
      <c r="D897" s="3">
        <v>740.28002900000001</v>
      </c>
      <c r="E897" s="3">
        <v>115.19000200000001</v>
      </c>
      <c r="F897" s="3">
        <f t="shared" si="78"/>
        <v>2016</v>
      </c>
      <c r="G897" s="3" t="str">
        <f t="shared" si="79"/>
        <v>Nov</v>
      </c>
      <c r="H897" s="3" t="str">
        <f t="shared" si="80"/>
        <v>Q4</v>
      </c>
      <c r="I897" s="3">
        <f t="shared" si="81"/>
        <v>1.3275508222153114E-2</v>
      </c>
      <c r="J897" s="3">
        <f t="shared" si="82"/>
        <v>-3.7148104666754425E-3</v>
      </c>
      <c r="K897" s="3" t="str">
        <f t="shared" si="83"/>
        <v>Normal</v>
      </c>
      <c r="L897" s="4">
        <f>VALUE(A897)</f>
        <v>42690</v>
      </c>
    </row>
    <row r="898" spans="1:12">
      <c r="A898" s="5">
        <v>42691</v>
      </c>
      <c r="B898" s="3">
        <v>756.40002400000003</v>
      </c>
      <c r="C898" s="3">
        <v>157.84889200000001</v>
      </c>
      <c r="D898" s="3">
        <v>737.53002900000001</v>
      </c>
      <c r="E898" s="3">
        <v>115.029999</v>
      </c>
      <c r="F898" s="3">
        <f t="shared" si="78"/>
        <v>2016</v>
      </c>
      <c r="G898" s="3" t="str">
        <f t="shared" si="79"/>
        <v>Nov</v>
      </c>
      <c r="H898" s="3" t="str">
        <f t="shared" si="80"/>
        <v>Q4</v>
      </c>
      <c r="I898" s="3">
        <f t="shared" si="81"/>
        <v>4.9708472774982436E-3</v>
      </c>
      <c r="J898" s="3">
        <f t="shared" si="82"/>
        <v>1.2785910578835519E-2</v>
      </c>
      <c r="K898" s="3" t="str">
        <f t="shared" si="83"/>
        <v>Normal</v>
      </c>
      <c r="L898" s="4">
        <f>VALUE(A898)</f>
        <v>42691</v>
      </c>
    </row>
    <row r="899" spans="1:12">
      <c r="A899" s="5">
        <v>42692</v>
      </c>
      <c r="B899" s="3">
        <v>760.15997300000004</v>
      </c>
      <c r="C899" s="3">
        <v>160.525757</v>
      </c>
      <c r="D899" s="3">
        <v>746.96002199999998</v>
      </c>
      <c r="E899" s="3">
        <v>115.209999</v>
      </c>
      <c r="F899" s="3">
        <f t="shared" ref="F899:F962" si="84">YEAR(A899)</f>
        <v>2016</v>
      </c>
      <c r="G899" s="3" t="str">
        <f t="shared" ref="G899:G962" si="85">TEXT(A899,"MMM")</f>
        <v>Nov</v>
      </c>
      <c r="H899" s="3" t="str">
        <f t="shared" ref="H899:H962" si="86">"Q"&amp;ROUNDUP(MONTH(A899)/3,0)</f>
        <v>Q4</v>
      </c>
      <c r="I899" s="3">
        <f t="shared" ref="I899:I962" si="87">(B900-B899)/B899</f>
        <v>2.609980491566867E-2</v>
      </c>
      <c r="J899" s="3">
        <f t="shared" ref="J899:J962" si="88">(D900-D899)/D899</f>
        <v>-1.4418469105164415E-2</v>
      </c>
      <c r="K899" s="3" t="str">
        <f t="shared" ref="K899:K962" si="89">IF(J899="","",IF(ABS(J899)&gt;0.05,"High Volatility","Normal"))</f>
        <v>Normal</v>
      </c>
      <c r="L899" s="4">
        <f>VALUE(A899)</f>
        <v>42692</v>
      </c>
    </row>
    <row r="900" spans="1:12">
      <c r="A900" s="5">
        <v>42695</v>
      </c>
      <c r="B900" s="3">
        <v>780</v>
      </c>
      <c r="C900" s="3">
        <v>162.626251</v>
      </c>
      <c r="D900" s="3">
        <v>736.19000200000005</v>
      </c>
      <c r="E900" s="3">
        <v>117.959999</v>
      </c>
      <c r="F900" s="3">
        <f t="shared" si="84"/>
        <v>2016</v>
      </c>
      <c r="G900" s="3" t="str">
        <f t="shared" si="85"/>
        <v>Nov</v>
      </c>
      <c r="H900" s="3" t="str">
        <f t="shared" si="86"/>
        <v>Q4</v>
      </c>
      <c r="I900" s="3">
        <f t="shared" si="87"/>
        <v>6.8333551282051255E-3</v>
      </c>
      <c r="J900" s="3">
        <f t="shared" si="88"/>
        <v>1.7862270560963029E-2</v>
      </c>
      <c r="K900" s="3" t="str">
        <f t="shared" si="89"/>
        <v>Normal</v>
      </c>
      <c r="L900" s="4">
        <f>VALUE(A900)</f>
        <v>42695</v>
      </c>
    </row>
    <row r="901" spans="1:12">
      <c r="A901" s="5">
        <v>42696</v>
      </c>
      <c r="B901" s="3">
        <v>785.330017</v>
      </c>
      <c r="C901" s="3">
        <v>164.589966</v>
      </c>
      <c r="D901" s="3">
        <v>749.34002699999996</v>
      </c>
      <c r="E901" s="3">
        <v>118.040001</v>
      </c>
      <c r="F901" s="3">
        <f t="shared" si="84"/>
        <v>2016</v>
      </c>
      <c r="G901" s="3" t="str">
        <f t="shared" si="85"/>
        <v>Nov</v>
      </c>
      <c r="H901" s="3" t="str">
        <f t="shared" si="86"/>
        <v>Q4</v>
      </c>
      <c r="I901" s="3">
        <f t="shared" si="87"/>
        <v>-6.6341816653112612E-3</v>
      </c>
      <c r="J901" s="3">
        <f t="shared" si="88"/>
        <v>-1.1036404972398373E-2</v>
      </c>
      <c r="K901" s="3" t="str">
        <f t="shared" si="89"/>
        <v>Normal</v>
      </c>
      <c r="L901" s="4">
        <f>VALUE(A901)</f>
        <v>42696</v>
      </c>
    </row>
    <row r="902" spans="1:12">
      <c r="A902" s="5">
        <v>42697</v>
      </c>
      <c r="B902" s="3">
        <v>780.11999500000002</v>
      </c>
      <c r="C902" s="3">
        <v>166.63185100000001</v>
      </c>
      <c r="D902" s="3">
        <v>741.07000700000003</v>
      </c>
      <c r="E902" s="3">
        <v>117.69000200000001</v>
      </c>
      <c r="F902" s="3">
        <f t="shared" si="84"/>
        <v>2016</v>
      </c>
      <c r="G902" s="3" t="str">
        <f t="shared" si="85"/>
        <v>Nov</v>
      </c>
      <c r="H902" s="3" t="str">
        <f t="shared" si="86"/>
        <v>Q4</v>
      </c>
      <c r="I902" s="3">
        <f t="shared" si="87"/>
        <v>3.2046352048699893E-4</v>
      </c>
      <c r="J902" s="3">
        <f t="shared" si="88"/>
        <v>-9.1758132642937181E-4</v>
      </c>
      <c r="K902" s="3" t="str">
        <f t="shared" si="89"/>
        <v>Normal</v>
      </c>
      <c r="L902" s="4">
        <f>VALUE(A902)</f>
        <v>42697</v>
      </c>
    </row>
    <row r="903" spans="1:12">
      <c r="A903" s="5">
        <v>42699</v>
      </c>
      <c r="B903" s="3">
        <v>780.36999500000002</v>
      </c>
      <c r="C903" s="3">
        <v>168.292664</v>
      </c>
      <c r="D903" s="3">
        <v>740.39001499999995</v>
      </c>
      <c r="E903" s="3">
        <v>117.410004</v>
      </c>
      <c r="F903" s="3">
        <f t="shared" si="84"/>
        <v>2016</v>
      </c>
      <c r="G903" s="3" t="str">
        <f t="shared" si="85"/>
        <v>Nov</v>
      </c>
      <c r="H903" s="3" t="str">
        <f t="shared" si="86"/>
        <v>Q4</v>
      </c>
      <c r="I903" s="3">
        <f t="shared" si="87"/>
        <v>-1.7427598558552949E-2</v>
      </c>
      <c r="J903" s="3">
        <f t="shared" si="88"/>
        <v>-9.576070525478337E-3</v>
      </c>
      <c r="K903" s="3" t="str">
        <f t="shared" si="89"/>
        <v>Normal</v>
      </c>
      <c r="L903" s="4">
        <f>VALUE(A903)</f>
        <v>42699</v>
      </c>
    </row>
    <row r="904" spans="1:12">
      <c r="A904" s="5">
        <v>42702</v>
      </c>
      <c r="B904" s="3">
        <v>766.77002000000005</v>
      </c>
      <c r="C904" s="3">
        <v>166.12380999999999</v>
      </c>
      <c r="D904" s="3">
        <v>733.29998799999998</v>
      </c>
      <c r="E904" s="3">
        <v>116.93</v>
      </c>
      <c r="F904" s="3">
        <f t="shared" si="84"/>
        <v>2016</v>
      </c>
      <c r="G904" s="3" t="str">
        <f t="shared" si="85"/>
        <v>Nov</v>
      </c>
      <c r="H904" s="3" t="str">
        <f t="shared" si="86"/>
        <v>Q4</v>
      </c>
      <c r="I904" s="3">
        <f t="shared" si="87"/>
        <v>-5.542731052526023E-3</v>
      </c>
      <c r="J904" s="3">
        <f t="shared" si="88"/>
        <v>-1.0091231584747201E-3</v>
      </c>
      <c r="K904" s="3" t="str">
        <f t="shared" si="89"/>
        <v>Normal</v>
      </c>
      <c r="L904" s="4">
        <f>VALUE(A904)</f>
        <v>42702</v>
      </c>
    </row>
    <row r="905" spans="1:12">
      <c r="A905" s="5">
        <v>42703</v>
      </c>
      <c r="B905" s="3">
        <v>762.52002000000005</v>
      </c>
      <c r="C905" s="3">
        <v>166.93467699999999</v>
      </c>
      <c r="D905" s="3">
        <v>732.55999799999995</v>
      </c>
      <c r="E905" s="3">
        <v>117.510002</v>
      </c>
      <c r="F905" s="3">
        <f t="shared" si="84"/>
        <v>2016</v>
      </c>
      <c r="G905" s="3" t="str">
        <f t="shared" si="85"/>
        <v>Nov</v>
      </c>
      <c r="H905" s="3" t="str">
        <f t="shared" si="86"/>
        <v>Q4</v>
      </c>
      <c r="I905" s="3">
        <f t="shared" si="87"/>
        <v>-1.5671736723712529E-2</v>
      </c>
      <c r="J905" s="3">
        <f t="shared" si="88"/>
        <v>1.3555192785724679E-2</v>
      </c>
      <c r="K905" s="3" t="str">
        <f t="shared" si="89"/>
        <v>Normal</v>
      </c>
      <c r="L905" s="4">
        <f>VALUE(A905)</f>
        <v>42703</v>
      </c>
    </row>
    <row r="906" spans="1:12">
      <c r="A906" s="5">
        <v>42704</v>
      </c>
      <c r="B906" s="3">
        <v>750.57000700000003</v>
      </c>
      <c r="C906" s="3">
        <v>164.169861</v>
      </c>
      <c r="D906" s="3">
        <v>742.48999000000003</v>
      </c>
      <c r="E906" s="3">
        <v>117</v>
      </c>
      <c r="F906" s="3">
        <f t="shared" si="84"/>
        <v>2016</v>
      </c>
      <c r="G906" s="3" t="str">
        <f t="shared" si="85"/>
        <v>Nov</v>
      </c>
      <c r="H906" s="3" t="str">
        <f t="shared" si="86"/>
        <v>Q4</v>
      </c>
      <c r="I906" s="3">
        <f t="shared" si="87"/>
        <v>-9.219636989837781E-3</v>
      </c>
      <c r="J906" s="3">
        <f t="shared" si="88"/>
        <v>1.3656769972077263E-2</v>
      </c>
      <c r="K906" s="3" t="str">
        <f t="shared" si="89"/>
        <v>Normal</v>
      </c>
      <c r="L906" s="4">
        <f>VALUE(A906)</f>
        <v>42704</v>
      </c>
    </row>
    <row r="907" spans="1:12">
      <c r="A907" s="5">
        <v>42705</v>
      </c>
      <c r="B907" s="3">
        <v>743.65002400000003</v>
      </c>
      <c r="C907" s="3">
        <v>164.814651</v>
      </c>
      <c r="D907" s="3">
        <v>752.63000499999998</v>
      </c>
      <c r="E907" s="3">
        <v>117.220001</v>
      </c>
      <c r="F907" s="3">
        <f t="shared" si="84"/>
        <v>2016</v>
      </c>
      <c r="G907" s="3" t="str">
        <f t="shared" si="85"/>
        <v>Dec</v>
      </c>
      <c r="H907" s="3" t="str">
        <f t="shared" si="86"/>
        <v>Q4</v>
      </c>
      <c r="I907" s="3">
        <f t="shared" si="87"/>
        <v>-4.451014446548403E-3</v>
      </c>
      <c r="J907" s="3">
        <f t="shared" si="88"/>
        <v>2.4328018918140352E-2</v>
      </c>
      <c r="K907" s="3" t="str">
        <f t="shared" si="89"/>
        <v>Normal</v>
      </c>
      <c r="L907" s="4">
        <f>VALUE(A907)</f>
        <v>42705</v>
      </c>
    </row>
    <row r="908" spans="1:12">
      <c r="A908" s="5">
        <v>42706</v>
      </c>
      <c r="B908" s="3">
        <v>740.34002699999996</v>
      </c>
      <c r="C908" s="3">
        <v>164.130798</v>
      </c>
      <c r="D908" s="3">
        <v>770.94000200000005</v>
      </c>
      <c r="E908" s="3">
        <v>120.80999799999999</v>
      </c>
      <c r="F908" s="3">
        <f t="shared" si="84"/>
        <v>2016</v>
      </c>
      <c r="G908" s="3" t="str">
        <f t="shared" si="85"/>
        <v>Dec</v>
      </c>
      <c r="H908" s="3" t="str">
        <f t="shared" si="86"/>
        <v>Q4</v>
      </c>
      <c r="I908" s="3">
        <f t="shared" si="87"/>
        <v>2.5690841108608718E-2</v>
      </c>
      <c r="J908" s="3">
        <f t="shared" si="88"/>
        <v>-2.153212306656269E-2</v>
      </c>
      <c r="K908" s="3" t="str">
        <f t="shared" si="89"/>
        <v>Normal</v>
      </c>
      <c r="L908" s="4">
        <f>VALUE(A908)</f>
        <v>42706</v>
      </c>
    </row>
    <row r="909" spans="1:12">
      <c r="A909" s="5">
        <v>42709</v>
      </c>
      <c r="B909" s="3">
        <v>759.35998500000005</v>
      </c>
      <c r="C909" s="3">
        <v>162.46014400000001</v>
      </c>
      <c r="D909" s="3">
        <v>754.34002699999996</v>
      </c>
      <c r="E909" s="3">
        <v>119.160004</v>
      </c>
      <c r="F909" s="3">
        <f t="shared" si="84"/>
        <v>2016</v>
      </c>
      <c r="G909" s="3" t="str">
        <f t="shared" si="85"/>
        <v>Dec</v>
      </c>
      <c r="H909" s="3" t="str">
        <f t="shared" si="86"/>
        <v>Q4</v>
      </c>
      <c r="I909" s="3">
        <f t="shared" si="87"/>
        <v>7.0585573454992299E-3</v>
      </c>
      <c r="J909" s="3">
        <f t="shared" si="88"/>
        <v>5.1303057792000438E-3</v>
      </c>
      <c r="K909" s="3" t="str">
        <f t="shared" si="89"/>
        <v>Normal</v>
      </c>
      <c r="L909" s="4">
        <f>VALUE(A909)</f>
        <v>42709</v>
      </c>
    </row>
    <row r="910" spans="1:12">
      <c r="A910" s="5">
        <v>42710</v>
      </c>
      <c r="B910" s="3">
        <v>764.71997099999999</v>
      </c>
      <c r="C910" s="3">
        <v>165.195694</v>
      </c>
      <c r="D910" s="3">
        <v>758.21002199999998</v>
      </c>
      <c r="E910" s="3">
        <v>124.57</v>
      </c>
      <c r="F910" s="3">
        <f t="shared" si="84"/>
        <v>2016</v>
      </c>
      <c r="G910" s="3" t="str">
        <f t="shared" si="85"/>
        <v>Dec</v>
      </c>
      <c r="H910" s="3" t="str">
        <f t="shared" si="86"/>
        <v>Q4</v>
      </c>
      <c r="I910" s="3">
        <f t="shared" si="87"/>
        <v>7.4537245216000974E-3</v>
      </c>
      <c r="J910" s="3">
        <f t="shared" si="88"/>
        <v>9.6938523453069976E-3</v>
      </c>
      <c r="K910" s="3" t="str">
        <f t="shared" si="89"/>
        <v>Normal</v>
      </c>
      <c r="L910" s="4">
        <f>VALUE(A910)</f>
        <v>42710</v>
      </c>
    </row>
    <row r="911" spans="1:12">
      <c r="A911" s="5">
        <v>42711</v>
      </c>
      <c r="B911" s="3">
        <v>770.419983</v>
      </c>
      <c r="C911" s="3">
        <v>163.857224</v>
      </c>
      <c r="D911" s="3">
        <v>765.55999799999995</v>
      </c>
      <c r="E911" s="3">
        <v>125.389999</v>
      </c>
      <c r="F911" s="3">
        <f t="shared" si="84"/>
        <v>2016</v>
      </c>
      <c r="G911" s="3" t="str">
        <f t="shared" si="85"/>
        <v>Dec</v>
      </c>
      <c r="H911" s="3" t="str">
        <f t="shared" si="86"/>
        <v>Q4</v>
      </c>
      <c r="I911" s="3">
        <f t="shared" si="87"/>
        <v>-4.0107552610041839E-3</v>
      </c>
      <c r="J911" s="3">
        <f t="shared" si="88"/>
        <v>3.8272532625197118E-3</v>
      </c>
      <c r="K911" s="3" t="str">
        <f t="shared" si="89"/>
        <v>Normal</v>
      </c>
      <c r="L911" s="4">
        <f>VALUE(A911)</f>
        <v>42711</v>
      </c>
    </row>
    <row r="912" spans="1:12">
      <c r="A912" s="5">
        <v>42712</v>
      </c>
      <c r="B912" s="3">
        <v>767.330017</v>
      </c>
      <c r="C912" s="3">
        <v>160.74070699999999</v>
      </c>
      <c r="D912" s="3">
        <v>768.48999000000003</v>
      </c>
      <c r="E912" s="3">
        <v>123.239998</v>
      </c>
      <c r="F912" s="3">
        <f t="shared" si="84"/>
        <v>2016</v>
      </c>
      <c r="G912" s="3" t="str">
        <f t="shared" si="85"/>
        <v>Dec</v>
      </c>
      <c r="H912" s="3" t="str">
        <f t="shared" si="86"/>
        <v>Q4</v>
      </c>
      <c r="I912" s="3">
        <f t="shared" si="87"/>
        <v>1.7332255620596143E-3</v>
      </c>
      <c r="J912" s="3">
        <f t="shared" si="88"/>
        <v>2.589480703580694E-3</v>
      </c>
      <c r="K912" s="3" t="str">
        <f t="shared" si="89"/>
        <v>Normal</v>
      </c>
      <c r="L912" s="4">
        <f>VALUE(A912)</f>
        <v>42712</v>
      </c>
    </row>
    <row r="913" spans="1:12">
      <c r="A913" s="5">
        <v>42713</v>
      </c>
      <c r="B913" s="3">
        <v>768.65997300000004</v>
      </c>
      <c r="C913" s="3">
        <v>159.80282600000001</v>
      </c>
      <c r="D913" s="3">
        <v>770.47997999999995</v>
      </c>
      <c r="E913" s="3">
        <v>122.879997</v>
      </c>
      <c r="F913" s="3">
        <f t="shared" si="84"/>
        <v>2016</v>
      </c>
      <c r="G913" s="3" t="str">
        <f t="shared" si="85"/>
        <v>Dec</v>
      </c>
      <c r="H913" s="3" t="str">
        <f t="shared" si="86"/>
        <v>Q4</v>
      </c>
      <c r="I913" s="3">
        <f t="shared" si="87"/>
        <v>-1.1110215569921473E-2</v>
      </c>
      <c r="J913" s="3">
        <f t="shared" si="88"/>
        <v>1.0370147450164808E-2</v>
      </c>
      <c r="K913" s="3" t="str">
        <f t="shared" si="89"/>
        <v>Normal</v>
      </c>
      <c r="L913" s="4">
        <f>VALUE(A913)</f>
        <v>42713</v>
      </c>
    </row>
    <row r="914" spans="1:12">
      <c r="A914" s="5">
        <v>42716</v>
      </c>
      <c r="B914" s="3">
        <v>760.11999500000002</v>
      </c>
      <c r="C914" s="3">
        <v>158.14196799999999</v>
      </c>
      <c r="D914" s="3">
        <v>778.46997099999999</v>
      </c>
      <c r="E914" s="3">
        <v>122.83000199999999</v>
      </c>
      <c r="F914" s="3">
        <f t="shared" si="84"/>
        <v>2016</v>
      </c>
      <c r="G914" s="3" t="str">
        <f t="shared" si="85"/>
        <v>Dec</v>
      </c>
      <c r="H914" s="3" t="str">
        <f t="shared" si="86"/>
        <v>Q4</v>
      </c>
      <c r="I914" s="3">
        <f t="shared" si="87"/>
        <v>1.8707614710227357E-2</v>
      </c>
      <c r="J914" s="3">
        <f t="shared" si="88"/>
        <v>3.4685859449811395E-4</v>
      </c>
      <c r="K914" s="3" t="str">
        <f t="shared" si="89"/>
        <v>Normal</v>
      </c>
      <c r="L914" s="4">
        <f>VALUE(A914)</f>
        <v>42716</v>
      </c>
    </row>
    <row r="915" spans="1:12">
      <c r="A915" s="5">
        <v>42717</v>
      </c>
      <c r="B915" s="3">
        <v>774.34002699999996</v>
      </c>
      <c r="C915" s="3">
        <v>158.50430299999999</v>
      </c>
      <c r="D915" s="3">
        <v>778.73999000000003</v>
      </c>
      <c r="E915" s="3">
        <v>123.779999</v>
      </c>
      <c r="F915" s="3">
        <f t="shared" si="84"/>
        <v>2016</v>
      </c>
      <c r="G915" s="3" t="str">
        <f t="shared" si="85"/>
        <v>Dec</v>
      </c>
      <c r="H915" s="3" t="str">
        <f t="shared" si="86"/>
        <v>Q4</v>
      </c>
      <c r="I915" s="3">
        <f t="shared" si="87"/>
        <v>-7.1286770766403008E-3</v>
      </c>
      <c r="J915" s="3">
        <f t="shared" si="88"/>
        <v>-2.8764286267102248E-3</v>
      </c>
      <c r="K915" s="3" t="str">
        <f t="shared" si="89"/>
        <v>Normal</v>
      </c>
      <c r="L915" s="4">
        <f>VALUE(A915)</f>
        <v>42717</v>
      </c>
    </row>
    <row r="916" spans="1:12">
      <c r="A916" s="5">
        <v>42718</v>
      </c>
      <c r="B916" s="3">
        <v>768.82000700000003</v>
      </c>
      <c r="C916" s="3">
        <v>158.63162199999999</v>
      </c>
      <c r="D916" s="3">
        <v>776.5</v>
      </c>
      <c r="E916" s="3">
        <v>123.44000200000001</v>
      </c>
      <c r="F916" s="3">
        <f t="shared" si="84"/>
        <v>2016</v>
      </c>
      <c r="G916" s="3" t="str">
        <f t="shared" si="85"/>
        <v>Dec</v>
      </c>
      <c r="H916" s="3" t="str">
        <f t="shared" si="86"/>
        <v>Q4</v>
      </c>
      <c r="I916" s="3">
        <f t="shared" si="87"/>
        <v>-1.017144055669721E-2</v>
      </c>
      <c r="J916" s="3">
        <f t="shared" si="88"/>
        <v>-1.6612723760463866E-3</v>
      </c>
      <c r="K916" s="3" t="str">
        <f t="shared" si="89"/>
        <v>Normal</v>
      </c>
      <c r="L916" s="4">
        <f>VALUE(A916)</f>
        <v>42718</v>
      </c>
    </row>
    <row r="917" spans="1:12">
      <c r="A917" s="5">
        <v>42719</v>
      </c>
      <c r="B917" s="3">
        <v>761</v>
      </c>
      <c r="C917" s="3">
        <v>156.46743799999999</v>
      </c>
      <c r="D917" s="3">
        <v>775.21002199999998</v>
      </c>
      <c r="E917" s="3">
        <v>125</v>
      </c>
      <c r="F917" s="3">
        <f t="shared" si="84"/>
        <v>2016</v>
      </c>
      <c r="G917" s="3" t="str">
        <f t="shared" si="85"/>
        <v>Dec</v>
      </c>
      <c r="H917" s="3" t="str">
        <f t="shared" si="86"/>
        <v>Q4</v>
      </c>
      <c r="I917" s="3">
        <f t="shared" si="87"/>
        <v>-4.2443889618921883E-3</v>
      </c>
      <c r="J917" s="3">
        <f t="shared" si="88"/>
        <v>8.823371481128767E-3</v>
      </c>
      <c r="K917" s="3" t="str">
        <f t="shared" si="89"/>
        <v>Normal</v>
      </c>
      <c r="L917" s="4">
        <f>VALUE(A917)</f>
        <v>42719</v>
      </c>
    </row>
    <row r="918" spans="1:12">
      <c r="A918" s="5">
        <v>42720</v>
      </c>
      <c r="B918" s="3">
        <v>757.77002000000005</v>
      </c>
      <c r="C918" s="3">
        <v>156.72203099999999</v>
      </c>
      <c r="D918" s="3">
        <v>782.04998799999998</v>
      </c>
      <c r="E918" s="3">
        <v>124.220001</v>
      </c>
      <c r="F918" s="3">
        <f t="shared" si="84"/>
        <v>2016</v>
      </c>
      <c r="G918" s="3" t="str">
        <f t="shared" si="85"/>
        <v>Dec</v>
      </c>
      <c r="H918" s="3" t="str">
        <f t="shared" si="86"/>
        <v>Q4</v>
      </c>
      <c r="I918" s="3">
        <f t="shared" si="87"/>
        <v>1.0860788607076266E-2</v>
      </c>
      <c r="J918" s="3">
        <f t="shared" si="88"/>
        <v>9.8970527699823122E-3</v>
      </c>
      <c r="K918" s="3" t="str">
        <f t="shared" si="89"/>
        <v>Normal</v>
      </c>
      <c r="L918" s="4">
        <f>VALUE(A918)</f>
        <v>42720</v>
      </c>
    </row>
    <row r="919" spans="1:12">
      <c r="A919" s="5">
        <v>42723</v>
      </c>
      <c r="B919" s="3">
        <v>766</v>
      </c>
      <c r="C919" s="3">
        <v>157.88737499999999</v>
      </c>
      <c r="D919" s="3">
        <v>789.78997800000002</v>
      </c>
      <c r="E919" s="3">
        <v>125.449997</v>
      </c>
      <c r="F919" s="3">
        <f t="shared" si="84"/>
        <v>2016</v>
      </c>
      <c r="G919" s="3" t="str">
        <f t="shared" si="85"/>
        <v>Dec</v>
      </c>
      <c r="H919" s="3" t="str">
        <f t="shared" si="86"/>
        <v>Q4</v>
      </c>
      <c r="I919" s="3">
        <f t="shared" si="87"/>
        <v>6.8145835509138206E-3</v>
      </c>
      <c r="J919" s="3">
        <f t="shared" si="88"/>
        <v>1.1787941426625637E-2</v>
      </c>
      <c r="K919" s="3" t="str">
        <f t="shared" si="89"/>
        <v>Normal</v>
      </c>
      <c r="L919" s="4">
        <f>VALUE(A919)</f>
        <v>42723</v>
      </c>
    </row>
    <row r="920" spans="1:12">
      <c r="A920" s="5">
        <v>42724</v>
      </c>
      <c r="B920" s="3">
        <v>771.21997099999999</v>
      </c>
      <c r="C920" s="3">
        <v>157.760086</v>
      </c>
      <c r="D920" s="3">
        <v>799.09997599999997</v>
      </c>
      <c r="E920" s="3">
        <v>125.120003</v>
      </c>
      <c r="F920" s="3">
        <f t="shared" si="84"/>
        <v>2016</v>
      </c>
      <c r="G920" s="3" t="str">
        <f t="shared" si="85"/>
        <v>Dec</v>
      </c>
      <c r="H920" s="3" t="str">
        <f t="shared" si="86"/>
        <v>Q4</v>
      </c>
      <c r="I920" s="3">
        <f t="shared" si="87"/>
        <v>-8.0391460713355564E-4</v>
      </c>
      <c r="J920" s="3">
        <f t="shared" si="88"/>
        <v>3.7679948572542581E-2</v>
      </c>
      <c r="K920" s="3" t="str">
        <f t="shared" si="89"/>
        <v>Normal</v>
      </c>
      <c r="L920" s="4">
        <f>VALUE(A920)</f>
        <v>42724</v>
      </c>
    </row>
    <row r="921" spans="1:12">
      <c r="A921" s="5">
        <v>42725</v>
      </c>
      <c r="B921" s="3">
        <v>770.59997599999997</v>
      </c>
      <c r="C921" s="3">
        <v>159.25836200000001</v>
      </c>
      <c r="D921" s="3">
        <v>829.21002199999998</v>
      </c>
      <c r="E921" s="3">
        <v>126.5</v>
      </c>
      <c r="F921" s="3">
        <f t="shared" si="84"/>
        <v>2016</v>
      </c>
      <c r="G921" s="3" t="str">
        <f t="shared" si="85"/>
        <v>Dec</v>
      </c>
      <c r="H921" s="3" t="str">
        <f t="shared" si="86"/>
        <v>Q4</v>
      </c>
      <c r="I921" s="3">
        <f t="shared" si="87"/>
        <v>-5.5280938653961319E-3</v>
      </c>
      <c r="J921" s="3">
        <f t="shared" si="88"/>
        <v>3.7312624279883647E-2</v>
      </c>
      <c r="K921" s="3" t="str">
        <f t="shared" si="89"/>
        <v>Normal</v>
      </c>
      <c r="L921" s="4">
        <f>VALUE(A921)</f>
        <v>42725</v>
      </c>
    </row>
    <row r="922" spans="1:12">
      <c r="A922" s="5">
        <v>42726</v>
      </c>
      <c r="B922" s="3">
        <v>766.34002699999996</v>
      </c>
      <c r="C922" s="3">
        <v>157.985275</v>
      </c>
      <c r="D922" s="3">
        <v>860.15002400000003</v>
      </c>
      <c r="E922" s="3">
        <v>125.58000199999999</v>
      </c>
      <c r="F922" s="3">
        <f t="shared" si="84"/>
        <v>2016</v>
      </c>
      <c r="G922" s="3" t="str">
        <f t="shared" si="85"/>
        <v>Dec</v>
      </c>
      <c r="H922" s="3" t="str">
        <f t="shared" si="86"/>
        <v>Q4</v>
      </c>
      <c r="I922" s="3">
        <f t="shared" si="87"/>
        <v>-7.5031967500243857E-3</v>
      </c>
      <c r="J922" s="3">
        <f t="shared" si="88"/>
        <v>6.6290713723214365E-2</v>
      </c>
      <c r="K922" s="3" t="str">
        <f t="shared" si="89"/>
        <v>High Volatility</v>
      </c>
      <c r="L922" s="4">
        <f>VALUE(A922)</f>
        <v>42726</v>
      </c>
    </row>
    <row r="923" spans="1:12">
      <c r="A923" s="5">
        <v>42727</v>
      </c>
      <c r="B923" s="3">
        <v>760.59002699999996</v>
      </c>
      <c r="C923" s="3">
        <v>158.22032200000001</v>
      </c>
      <c r="D923" s="3">
        <v>917.169983</v>
      </c>
      <c r="E923" s="3">
        <v>125.589996</v>
      </c>
      <c r="F923" s="3">
        <f t="shared" si="84"/>
        <v>2016</v>
      </c>
      <c r="G923" s="3" t="str">
        <f t="shared" si="85"/>
        <v>Dec</v>
      </c>
      <c r="H923" s="3" t="str">
        <f t="shared" si="86"/>
        <v>Q4</v>
      </c>
      <c r="I923" s="3">
        <f t="shared" si="87"/>
        <v>1.4212646256535871E-2</v>
      </c>
      <c r="J923" s="3">
        <f t="shared" si="88"/>
        <v>9.3876229702122855E-3</v>
      </c>
      <c r="K923" s="3" t="str">
        <f t="shared" si="89"/>
        <v>Normal</v>
      </c>
      <c r="L923" s="4">
        <f>VALUE(A923)</f>
        <v>42727</v>
      </c>
    </row>
    <row r="924" spans="1:12">
      <c r="A924" s="5">
        <v>42731</v>
      </c>
      <c r="B924" s="3">
        <v>771.40002400000003</v>
      </c>
      <c r="C924" s="3">
        <v>158.61203</v>
      </c>
      <c r="D924" s="3">
        <v>925.78002900000001</v>
      </c>
      <c r="E924" s="3">
        <v>128.35000600000001</v>
      </c>
      <c r="F924" s="3">
        <f t="shared" si="84"/>
        <v>2016</v>
      </c>
      <c r="G924" s="3" t="str">
        <f t="shared" si="85"/>
        <v>Dec</v>
      </c>
      <c r="H924" s="3" t="str">
        <f t="shared" si="86"/>
        <v>Q4</v>
      </c>
      <c r="I924" s="3">
        <f t="shared" si="87"/>
        <v>9.4630668562171636E-4</v>
      </c>
      <c r="J924" s="3">
        <f t="shared" si="88"/>
        <v>5.0109045936224214E-2</v>
      </c>
      <c r="K924" s="3" t="str">
        <f t="shared" si="89"/>
        <v>High Volatility</v>
      </c>
      <c r="L924" s="4">
        <f>VALUE(A924)</f>
        <v>42731</v>
      </c>
    </row>
    <row r="925" spans="1:12">
      <c r="A925" s="5">
        <v>42732</v>
      </c>
      <c r="B925" s="3">
        <v>772.13000499999998</v>
      </c>
      <c r="C925" s="3">
        <v>157.906937</v>
      </c>
      <c r="D925" s="3">
        <v>972.169983</v>
      </c>
      <c r="E925" s="3">
        <v>125.889999</v>
      </c>
      <c r="F925" s="3">
        <f t="shared" si="84"/>
        <v>2016</v>
      </c>
      <c r="G925" s="3" t="str">
        <f t="shared" si="85"/>
        <v>Dec</v>
      </c>
      <c r="H925" s="3" t="str">
        <f t="shared" si="86"/>
        <v>Q4</v>
      </c>
      <c r="I925" s="3">
        <f t="shared" si="87"/>
        <v>-9.0399038436538327E-3</v>
      </c>
      <c r="J925" s="3">
        <f t="shared" si="88"/>
        <v>-1.1211681280638799E-3</v>
      </c>
      <c r="K925" s="3" t="str">
        <f t="shared" si="89"/>
        <v>Normal</v>
      </c>
      <c r="L925" s="4">
        <f>VALUE(A925)</f>
        <v>42732</v>
      </c>
    </row>
    <row r="926" spans="1:12">
      <c r="A926" s="5">
        <v>42733</v>
      </c>
      <c r="B926" s="3">
        <v>765.15002400000003</v>
      </c>
      <c r="C926" s="3">
        <v>158.993942</v>
      </c>
      <c r="D926" s="3">
        <v>971.080017</v>
      </c>
      <c r="E926" s="3">
        <v>125.33000199999999</v>
      </c>
      <c r="F926" s="3">
        <f t="shared" si="84"/>
        <v>2016</v>
      </c>
      <c r="G926" s="3" t="str">
        <f t="shared" si="85"/>
        <v>Dec</v>
      </c>
      <c r="H926" s="3" t="str">
        <f t="shared" si="86"/>
        <v>Q4</v>
      </c>
      <c r="I926" s="3">
        <f t="shared" si="87"/>
        <v>-1.9969977809214591E-2</v>
      </c>
      <c r="J926" s="3">
        <f t="shared" si="88"/>
        <v>-1.2398606488882141E-2</v>
      </c>
      <c r="K926" s="3" t="str">
        <f t="shared" si="89"/>
        <v>Normal</v>
      </c>
      <c r="L926" s="4">
        <f>VALUE(A926)</f>
        <v>42733</v>
      </c>
    </row>
    <row r="927" spans="1:12">
      <c r="A927" s="5">
        <v>42734</v>
      </c>
      <c r="B927" s="3">
        <v>749.86999500000002</v>
      </c>
      <c r="C927" s="3">
        <v>155.938614</v>
      </c>
      <c r="D927" s="3">
        <v>959.03997800000002</v>
      </c>
      <c r="E927" s="3">
        <v>123.800003</v>
      </c>
      <c r="F927" s="3">
        <f t="shared" si="84"/>
        <v>2016</v>
      </c>
      <c r="G927" s="3" t="str">
        <f t="shared" si="85"/>
        <v>Dec</v>
      </c>
      <c r="H927" s="3" t="str">
        <f t="shared" si="86"/>
        <v>Q4</v>
      </c>
      <c r="I927" s="3">
        <f t="shared" si="87"/>
        <v>5.0675290721560141E-3</v>
      </c>
      <c r="J927" s="3">
        <f t="shared" si="88"/>
        <v>7.7431674073549339E-2</v>
      </c>
      <c r="K927" s="3" t="str">
        <f t="shared" si="89"/>
        <v>High Volatility</v>
      </c>
      <c r="L927" s="4">
        <f>VALUE(A927)</f>
        <v>42734</v>
      </c>
    </row>
    <row r="928" spans="1:12">
      <c r="A928" s="5">
        <v>42738</v>
      </c>
      <c r="B928" s="3">
        <v>753.669983</v>
      </c>
      <c r="C928" s="3">
        <v>155.076874</v>
      </c>
      <c r="D928" s="3">
        <v>1033.3000489999999</v>
      </c>
      <c r="E928" s="3">
        <v>127.489998</v>
      </c>
      <c r="F928" s="3">
        <f t="shared" si="84"/>
        <v>2017</v>
      </c>
      <c r="G928" s="3" t="str">
        <f t="shared" si="85"/>
        <v>Jan</v>
      </c>
      <c r="H928" s="3" t="str">
        <f t="shared" si="86"/>
        <v>Q1</v>
      </c>
      <c r="I928" s="3">
        <f t="shared" si="87"/>
        <v>4.6572240890214219E-3</v>
      </c>
      <c r="J928" s="3">
        <f t="shared" si="88"/>
        <v>9.8819297549457535E-2</v>
      </c>
      <c r="K928" s="3" t="str">
        <f t="shared" si="89"/>
        <v>High Volatility</v>
      </c>
      <c r="L928" s="4">
        <f>VALUE(A928)</f>
        <v>42738</v>
      </c>
    </row>
    <row r="929" spans="1:12">
      <c r="A929" s="5">
        <v>42739</v>
      </c>
      <c r="B929" s="3">
        <v>757.17999299999997</v>
      </c>
      <c r="C929" s="3">
        <v>159.61087000000001</v>
      </c>
      <c r="D929" s="3">
        <v>1135.410034</v>
      </c>
      <c r="E929" s="3">
        <v>129.41000399999999</v>
      </c>
      <c r="F929" s="3">
        <f t="shared" si="84"/>
        <v>2017</v>
      </c>
      <c r="G929" s="3" t="str">
        <f t="shared" si="85"/>
        <v>Jan</v>
      </c>
      <c r="H929" s="3" t="str">
        <f t="shared" si="86"/>
        <v>Q1</v>
      </c>
      <c r="I929" s="3">
        <f t="shared" si="87"/>
        <v>3.07324800115262E-2</v>
      </c>
      <c r="J929" s="3">
        <f t="shared" si="88"/>
        <v>-0.12864080255256932</v>
      </c>
      <c r="K929" s="3" t="str">
        <f t="shared" si="89"/>
        <v>High Volatility</v>
      </c>
      <c r="L929" s="4">
        <f>VALUE(A929)</f>
        <v>42739</v>
      </c>
    </row>
    <row r="930" spans="1:12">
      <c r="A930" s="5">
        <v>42740</v>
      </c>
      <c r="B930" s="3">
        <v>780.45001200000002</v>
      </c>
      <c r="C930" s="3">
        <v>159.395432</v>
      </c>
      <c r="D930" s="3">
        <v>989.34997599999997</v>
      </c>
      <c r="E930" s="3">
        <v>131.80999800000001</v>
      </c>
      <c r="F930" s="3">
        <f t="shared" si="84"/>
        <v>2017</v>
      </c>
      <c r="G930" s="3" t="str">
        <f t="shared" si="85"/>
        <v>Jan</v>
      </c>
      <c r="H930" s="3" t="str">
        <f t="shared" si="86"/>
        <v>Q1</v>
      </c>
      <c r="I930" s="3">
        <f t="shared" si="87"/>
        <v>1.9911560972594385E-2</v>
      </c>
      <c r="J930" s="3">
        <f t="shared" si="88"/>
        <v>-0.1043008091203511</v>
      </c>
      <c r="K930" s="3" t="str">
        <f t="shared" si="89"/>
        <v>High Volatility</v>
      </c>
      <c r="L930" s="4">
        <f>VALUE(A930)</f>
        <v>42740</v>
      </c>
    </row>
    <row r="931" spans="1:12">
      <c r="A931" s="5">
        <v>42741</v>
      </c>
      <c r="B931" s="3">
        <v>795.98999000000003</v>
      </c>
      <c r="C931" s="3">
        <v>160.100525</v>
      </c>
      <c r="D931" s="3">
        <v>886.15997300000004</v>
      </c>
      <c r="E931" s="3">
        <v>131.070007</v>
      </c>
      <c r="F931" s="3">
        <f t="shared" si="84"/>
        <v>2017</v>
      </c>
      <c r="G931" s="3" t="str">
        <f t="shared" si="85"/>
        <v>Jan</v>
      </c>
      <c r="H931" s="3" t="str">
        <f t="shared" si="86"/>
        <v>Q1</v>
      </c>
      <c r="I931" s="3">
        <f t="shared" si="87"/>
        <v>1.1683476069843134E-3</v>
      </c>
      <c r="J931" s="3">
        <f t="shared" si="88"/>
        <v>1.5369748595042868E-2</v>
      </c>
      <c r="K931" s="3" t="str">
        <f t="shared" si="89"/>
        <v>Normal</v>
      </c>
      <c r="L931" s="4">
        <f>VALUE(A931)</f>
        <v>42741</v>
      </c>
    </row>
    <row r="932" spans="1:12">
      <c r="A932" s="5">
        <v>42744</v>
      </c>
      <c r="B932" s="3">
        <v>796.919983</v>
      </c>
      <c r="C932" s="3">
        <v>161.09938</v>
      </c>
      <c r="D932" s="3">
        <v>899.78002900000001</v>
      </c>
      <c r="E932" s="3">
        <v>130.949997</v>
      </c>
      <c r="F932" s="3">
        <f t="shared" si="84"/>
        <v>2017</v>
      </c>
      <c r="G932" s="3" t="str">
        <f t="shared" si="85"/>
        <v>Jan</v>
      </c>
      <c r="H932" s="3" t="str">
        <f t="shared" si="86"/>
        <v>Q1</v>
      </c>
      <c r="I932" s="3">
        <f t="shared" si="87"/>
        <v>-1.2798763009560165E-3</v>
      </c>
      <c r="J932" s="3">
        <f t="shared" si="88"/>
        <v>5.1012090200548386E-3</v>
      </c>
      <c r="K932" s="3" t="str">
        <f t="shared" si="89"/>
        <v>Normal</v>
      </c>
      <c r="L932" s="4">
        <f>VALUE(A932)</f>
        <v>42744</v>
      </c>
    </row>
    <row r="933" spans="1:12">
      <c r="A933" s="5">
        <v>42745</v>
      </c>
      <c r="B933" s="3">
        <v>795.90002400000003</v>
      </c>
      <c r="C933" s="3">
        <v>162.91099500000001</v>
      </c>
      <c r="D933" s="3">
        <v>904.36999500000002</v>
      </c>
      <c r="E933" s="3">
        <v>129.88999899999999</v>
      </c>
      <c r="F933" s="3">
        <f t="shared" si="84"/>
        <v>2017</v>
      </c>
      <c r="G933" s="3" t="str">
        <f t="shared" si="85"/>
        <v>Jan</v>
      </c>
      <c r="H933" s="3" t="str">
        <f t="shared" si="86"/>
        <v>Q1</v>
      </c>
      <c r="I933" s="3">
        <f t="shared" si="87"/>
        <v>3.92008531966072E-3</v>
      </c>
      <c r="J933" s="3">
        <f t="shared" si="88"/>
        <v>-0.1315169705514169</v>
      </c>
      <c r="K933" s="3" t="str">
        <f t="shared" si="89"/>
        <v>High Volatility</v>
      </c>
      <c r="L933" s="4">
        <f>VALUE(A933)</f>
        <v>42745</v>
      </c>
    </row>
    <row r="934" spans="1:12">
      <c r="A934" s="5">
        <v>42746</v>
      </c>
      <c r="B934" s="3">
        <v>799.02002000000005</v>
      </c>
      <c r="C934" s="3">
        <v>165.457123</v>
      </c>
      <c r="D934" s="3">
        <v>785.42999299999997</v>
      </c>
      <c r="E934" s="3">
        <v>130.5</v>
      </c>
      <c r="F934" s="3">
        <f t="shared" si="84"/>
        <v>2017</v>
      </c>
      <c r="G934" s="3" t="str">
        <f t="shared" si="85"/>
        <v>Jan</v>
      </c>
      <c r="H934" s="3" t="str">
        <f t="shared" si="86"/>
        <v>Q1</v>
      </c>
      <c r="I934" s="3">
        <f t="shared" si="87"/>
        <v>1.8297407616895384E-2</v>
      </c>
      <c r="J934" s="3">
        <f t="shared" si="88"/>
        <v>3.1422268337033168E-2</v>
      </c>
      <c r="K934" s="3" t="str">
        <f t="shared" si="89"/>
        <v>Normal</v>
      </c>
      <c r="L934" s="4">
        <f>VALUE(A934)</f>
        <v>42746</v>
      </c>
    </row>
    <row r="935" spans="1:12">
      <c r="A935" s="5">
        <v>42747</v>
      </c>
      <c r="B935" s="3">
        <v>813.64001499999995</v>
      </c>
      <c r="C935" s="3">
        <v>164.869553</v>
      </c>
      <c r="D935" s="3">
        <v>810.10998500000005</v>
      </c>
      <c r="E935" s="3">
        <v>129.179993</v>
      </c>
      <c r="F935" s="3">
        <f t="shared" si="84"/>
        <v>2017</v>
      </c>
      <c r="G935" s="3" t="str">
        <f t="shared" si="85"/>
        <v>Jan</v>
      </c>
      <c r="H935" s="3" t="str">
        <f t="shared" si="86"/>
        <v>Q1</v>
      </c>
      <c r="I935" s="3">
        <f t="shared" si="87"/>
        <v>4.3016566730681265E-3</v>
      </c>
      <c r="J935" s="3">
        <f t="shared" si="88"/>
        <v>1.8170411762052217E-2</v>
      </c>
      <c r="K935" s="3" t="str">
        <f t="shared" si="89"/>
        <v>Normal</v>
      </c>
      <c r="L935" s="4">
        <f>VALUE(A935)</f>
        <v>42747</v>
      </c>
    </row>
    <row r="936" spans="1:12">
      <c r="A936" s="5">
        <v>42748</v>
      </c>
      <c r="B936" s="3">
        <v>817.14001499999995</v>
      </c>
      <c r="C936" s="3">
        <v>163.694412</v>
      </c>
      <c r="D936" s="3">
        <v>824.830017</v>
      </c>
      <c r="E936" s="3">
        <v>133.699997</v>
      </c>
      <c r="F936" s="3">
        <f t="shared" si="84"/>
        <v>2017</v>
      </c>
      <c r="G936" s="3" t="str">
        <f t="shared" si="85"/>
        <v>Jan</v>
      </c>
      <c r="H936" s="3" t="str">
        <f t="shared" si="86"/>
        <v>Q1</v>
      </c>
      <c r="I936" s="3">
        <f t="shared" si="87"/>
        <v>-9.0805050099033047E-3</v>
      </c>
      <c r="J936" s="3">
        <f t="shared" si="88"/>
        <v>9.0721669262431845E-2</v>
      </c>
      <c r="K936" s="3" t="str">
        <f t="shared" si="89"/>
        <v>High Volatility</v>
      </c>
      <c r="L936" s="4">
        <f>VALUE(A936)</f>
        <v>42748</v>
      </c>
    </row>
    <row r="937" spans="1:12">
      <c r="A937" s="5">
        <v>42752</v>
      </c>
      <c r="B937" s="3">
        <v>809.71997099999999</v>
      </c>
      <c r="C937" s="3">
        <v>161.51063500000001</v>
      </c>
      <c r="D937" s="3">
        <v>899.65997300000004</v>
      </c>
      <c r="E937" s="3">
        <v>132.88999899999999</v>
      </c>
      <c r="F937" s="3">
        <f t="shared" si="84"/>
        <v>2017</v>
      </c>
      <c r="G937" s="3" t="str">
        <f t="shared" si="85"/>
        <v>Jan</v>
      </c>
      <c r="H937" s="3" t="str">
        <f t="shared" si="86"/>
        <v>Q1</v>
      </c>
      <c r="I937" s="3">
        <f t="shared" si="87"/>
        <v>-2.7663773652929105E-3</v>
      </c>
      <c r="J937" s="3">
        <f t="shared" si="88"/>
        <v>-3.0711540836773476E-2</v>
      </c>
      <c r="K937" s="3" t="str">
        <f t="shared" si="89"/>
        <v>Normal</v>
      </c>
      <c r="L937" s="4">
        <f>VALUE(A937)</f>
        <v>42752</v>
      </c>
    </row>
    <row r="938" spans="1:12">
      <c r="A938" s="5">
        <v>42753</v>
      </c>
      <c r="B938" s="3">
        <v>807.47997999999995</v>
      </c>
      <c r="C938" s="3">
        <v>162.13739000000001</v>
      </c>
      <c r="D938" s="3">
        <v>872.03002900000001</v>
      </c>
      <c r="E938" s="3">
        <v>133.259995</v>
      </c>
      <c r="F938" s="3">
        <f t="shared" si="84"/>
        <v>2017</v>
      </c>
      <c r="G938" s="3" t="str">
        <f t="shared" si="85"/>
        <v>Jan</v>
      </c>
      <c r="H938" s="3" t="str">
        <f t="shared" si="86"/>
        <v>Q1</v>
      </c>
      <c r="I938" s="3">
        <f t="shared" si="87"/>
        <v>1.9319339657189571E-3</v>
      </c>
      <c r="J938" s="3">
        <f t="shared" si="88"/>
        <v>2.658164538964514E-2</v>
      </c>
      <c r="K938" s="3" t="str">
        <f t="shared" si="89"/>
        <v>Normal</v>
      </c>
      <c r="L938" s="4">
        <f>VALUE(A938)</f>
        <v>42753</v>
      </c>
    </row>
    <row r="939" spans="1:12">
      <c r="A939" s="5">
        <v>42754</v>
      </c>
      <c r="B939" s="3">
        <v>809.03997800000002</v>
      </c>
      <c r="C939" s="3">
        <v>162.597656</v>
      </c>
      <c r="D939" s="3">
        <v>895.21002199999998</v>
      </c>
      <c r="E939" s="3">
        <v>138.41000399999999</v>
      </c>
      <c r="F939" s="3">
        <f t="shared" si="84"/>
        <v>2017</v>
      </c>
      <c r="G939" s="3" t="str">
        <f t="shared" si="85"/>
        <v>Jan</v>
      </c>
      <c r="H939" s="3" t="str">
        <f t="shared" si="86"/>
        <v>Q1</v>
      </c>
      <c r="I939" s="3">
        <f t="shared" si="87"/>
        <v>-8.7753512719493962E-4</v>
      </c>
      <c r="J939" s="3">
        <f t="shared" si="88"/>
        <v>-2.5692842388665132E-3</v>
      </c>
      <c r="K939" s="3" t="str">
        <f t="shared" si="89"/>
        <v>Normal</v>
      </c>
      <c r="L939" s="4">
        <f>VALUE(A939)</f>
        <v>42754</v>
      </c>
    </row>
    <row r="940" spans="1:12">
      <c r="A940" s="5">
        <v>42755</v>
      </c>
      <c r="B940" s="3">
        <v>808.330017</v>
      </c>
      <c r="C940" s="3">
        <v>164.38969399999999</v>
      </c>
      <c r="D940" s="3">
        <v>892.90997300000004</v>
      </c>
      <c r="E940" s="3">
        <v>138.60000600000001</v>
      </c>
      <c r="F940" s="3">
        <f t="shared" si="84"/>
        <v>2017</v>
      </c>
      <c r="G940" s="3" t="str">
        <f t="shared" si="85"/>
        <v>Jan</v>
      </c>
      <c r="H940" s="3" t="str">
        <f t="shared" si="86"/>
        <v>Q1</v>
      </c>
      <c r="I940" s="3">
        <f t="shared" si="87"/>
        <v>1.1814466615310644E-2</v>
      </c>
      <c r="J940" s="3">
        <f t="shared" si="88"/>
        <v>3.1974162976450421E-2</v>
      </c>
      <c r="K940" s="3" t="str">
        <f t="shared" si="89"/>
        <v>Normal</v>
      </c>
      <c r="L940" s="4">
        <f>VALUE(A940)</f>
        <v>42755</v>
      </c>
    </row>
    <row r="941" spans="1:12">
      <c r="A941" s="5">
        <v>42758</v>
      </c>
      <c r="B941" s="3">
        <v>817.88000499999998</v>
      </c>
      <c r="C941" s="3">
        <v>163.576874</v>
      </c>
      <c r="D941" s="3">
        <v>921.46002199999998</v>
      </c>
      <c r="E941" s="3">
        <v>137.38999899999999</v>
      </c>
      <c r="F941" s="3">
        <f t="shared" si="84"/>
        <v>2017</v>
      </c>
      <c r="G941" s="3" t="str">
        <f t="shared" si="85"/>
        <v>Jan</v>
      </c>
      <c r="H941" s="3" t="str">
        <f t="shared" si="86"/>
        <v>Q1</v>
      </c>
      <c r="I941" s="3">
        <f t="shared" si="87"/>
        <v>5.5753863306635875E-3</v>
      </c>
      <c r="J941" s="3">
        <f t="shared" si="88"/>
        <v>-3.0071865667982263E-2</v>
      </c>
      <c r="K941" s="3" t="str">
        <f t="shared" si="89"/>
        <v>Normal</v>
      </c>
      <c r="L941" s="4">
        <f>VALUE(A941)</f>
        <v>42758</v>
      </c>
    </row>
    <row r="942" spans="1:12">
      <c r="A942" s="5">
        <v>42759</v>
      </c>
      <c r="B942" s="3">
        <v>822.44000200000005</v>
      </c>
      <c r="C942" s="3">
        <v>165.995712</v>
      </c>
      <c r="D942" s="3">
        <v>893.75</v>
      </c>
      <c r="E942" s="3">
        <v>140.11000100000001</v>
      </c>
      <c r="F942" s="3">
        <f t="shared" si="84"/>
        <v>2017</v>
      </c>
      <c r="G942" s="3" t="str">
        <f t="shared" si="85"/>
        <v>Jan</v>
      </c>
      <c r="H942" s="3" t="str">
        <f t="shared" si="86"/>
        <v>Q1</v>
      </c>
      <c r="I942" s="3">
        <f t="shared" si="87"/>
        <v>1.7119811737950939E-2</v>
      </c>
      <c r="J942" s="3">
        <f t="shared" si="88"/>
        <v>7.3843132867136931E-4</v>
      </c>
      <c r="K942" s="3" t="str">
        <f t="shared" si="89"/>
        <v>Normal</v>
      </c>
      <c r="L942" s="4">
        <f>VALUE(A942)</f>
        <v>42759</v>
      </c>
    </row>
    <row r="943" spans="1:12">
      <c r="A943" s="5">
        <v>42760</v>
      </c>
      <c r="B943" s="3">
        <v>836.52002000000005</v>
      </c>
      <c r="C943" s="3">
        <v>167.03372200000001</v>
      </c>
      <c r="D943" s="3">
        <v>894.40997300000004</v>
      </c>
      <c r="E943" s="3">
        <v>139.520004</v>
      </c>
      <c r="F943" s="3">
        <f t="shared" si="84"/>
        <v>2017</v>
      </c>
      <c r="G943" s="3" t="str">
        <f t="shared" si="85"/>
        <v>Jan</v>
      </c>
      <c r="H943" s="3" t="str">
        <f t="shared" si="86"/>
        <v>Q1</v>
      </c>
      <c r="I943" s="3">
        <f t="shared" si="87"/>
        <v>3.1439821368530849E-3</v>
      </c>
      <c r="J943" s="3">
        <f t="shared" si="88"/>
        <v>2.3646902023083671E-2</v>
      </c>
      <c r="K943" s="3" t="str">
        <f t="shared" si="89"/>
        <v>Normal</v>
      </c>
      <c r="L943" s="4">
        <f>VALUE(A943)</f>
        <v>42760</v>
      </c>
    </row>
    <row r="944" spans="1:12">
      <c r="A944" s="5">
        <v>42761</v>
      </c>
      <c r="B944" s="3">
        <v>839.15002400000003</v>
      </c>
      <c r="C944" s="3">
        <v>167.39605700000001</v>
      </c>
      <c r="D944" s="3">
        <v>915.55999799999995</v>
      </c>
      <c r="E944" s="3">
        <v>138.96000699999999</v>
      </c>
      <c r="F944" s="3">
        <f t="shared" si="84"/>
        <v>2017</v>
      </c>
      <c r="G944" s="3" t="str">
        <f t="shared" si="85"/>
        <v>Jan</v>
      </c>
      <c r="H944" s="3" t="str">
        <f t="shared" si="86"/>
        <v>Q1</v>
      </c>
      <c r="I944" s="3">
        <f t="shared" si="87"/>
        <v>-4.0278900117149798E-3</v>
      </c>
      <c r="J944" s="3">
        <f t="shared" si="88"/>
        <v>2.6759709962776413E-3</v>
      </c>
      <c r="K944" s="3" t="str">
        <f t="shared" si="89"/>
        <v>Normal</v>
      </c>
      <c r="L944" s="4">
        <f>VALUE(A944)</f>
        <v>42761</v>
      </c>
    </row>
    <row r="945" spans="1:12">
      <c r="A945" s="5">
        <v>42762</v>
      </c>
      <c r="B945" s="3">
        <v>835.77002000000005</v>
      </c>
      <c r="C945" s="3">
        <v>168.45367400000001</v>
      </c>
      <c r="D945" s="3">
        <v>918.01000999999997</v>
      </c>
      <c r="E945" s="3">
        <v>142.449997</v>
      </c>
      <c r="F945" s="3">
        <f t="shared" si="84"/>
        <v>2017</v>
      </c>
      <c r="G945" s="3" t="str">
        <f t="shared" si="85"/>
        <v>Jan</v>
      </c>
      <c r="H945" s="3" t="str">
        <f t="shared" si="86"/>
        <v>Q1</v>
      </c>
      <c r="I945" s="3">
        <f t="shared" si="87"/>
        <v>-6.4491604999184606E-3</v>
      </c>
      <c r="J945" s="3">
        <f t="shared" si="88"/>
        <v>2.9628979753717386E-3</v>
      </c>
      <c r="K945" s="3" t="str">
        <f t="shared" si="89"/>
        <v>Normal</v>
      </c>
      <c r="L945" s="4">
        <f>VALUE(A945)</f>
        <v>42762</v>
      </c>
    </row>
    <row r="946" spans="1:12">
      <c r="A946" s="5">
        <v>42765</v>
      </c>
      <c r="B946" s="3">
        <v>830.38000499999998</v>
      </c>
      <c r="C946" s="3">
        <v>170.32406599999999</v>
      </c>
      <c r="D946" s="3">
        <v>920.72997999999995</v>
      </c>
      <c r="E946" s="3">
        <v>141.220001</v>
      </c>
      <c r="F946" s="3">
        <f t="shared" si="84"/>
        <v>2017</v>
      </c>
      <c r="G946" s="3" t="str">
        <f t="shared" si="85"/>
        <v>Jan</v>
      </c>
      <c r="H946" s="3" t="str">
        <f t="shared" si="86"/>
        <v>Q1</v>
      </c>
      <c r="I946" s="3">
        <f t="shared" si="87"/>
        <v>-8.3094787428076716E-3</v>
      </c>
      <c r="J946" s="3">
        <f t="shared" si="88"/>
        <v>4.8613611995125955E-2</v>
      </c>
      <c r="K946" s="3" t="str">
        <f t="shared" si="89"/>
        <v>Normal</v>
      </c>
      <c r="L946" s="4">
        <f>VALUE(A946)</f>
        <v>42765</v>
      </c>
    </row>
    <row r="947" spans="1:12">
      <c r="A947" s="5">
        <v>42766</v>
      </c>
      <c r="B947" s="3">
        <v>823.47997999999995</v>
      </c>
      <c r="C947" s="3">
        <v>170.92143200000001</v>
      </c>
      <c r="D947" s="3">
        <v>965.48999000000003</v>
      </c>
      <c r="E947" s="3">
        <v>140.71000699999999</v>
      </c>
      <c r="F947" s="3">
        <f t="shared" si="84"/>
        <v>2017</v>
      </c>
      <c r="G947" s="3" t="str">
        <f t="shared" si="85"/>
        <v>Jan</v>
      </c>
      <c r="H947" s="3" t="str">
        <f t="shared" si="86"/>
        <v>Q1</v>
      </c>
      <c r="I947" s="3">
        <f t="shared" si="87"/>
        <v>1.0771355971519812E-2</v>
      </c>
      <c r="J947" s="3">
        <f t="shared" si="88"/>
        <v>1.7545498322566692E-2</v>
      </c>
      <c r="K947" s="3" t="str">
        <f t="shared" si="89"/>
        <v>Normal</v>
      </c>
      <c r="L947" s="4">
        <f>VALUE(A947)</f>
        <v>42766</v>
      </c>
    </row>
    <row r="948" spans="1:12">
      <c r="A948" s="5">
        <v>42767</v>
      </c>
      <c r="B948" s="3">
        <v>832.34997599999997</v>
      </c>
      <c r="C948" s="3">
        <v>167.34710699999999</v>
      </c>
      <c r="D948" s="3">
        <v>982.42999299999997</v>
      </c>
      <c r="E948" s="3">
        <v>140.779999</v>
      </c>
      <c r="F948" s="3">
        <f t="shared" si="84"/>
        <v>2017</v>
      </c>
      <c r="G948" s="3" t="str">
        <f t="shared" si="85"/>
        <v>Feb</v>
      </c>
      <c r="H948" s="3" t="str">
        <f t="shared" si="86"/>
        <v>Q1</v>
      </c>
      <c r="I948" s="3">
        <f t="shared" si="87"/>
        <v>9.1308178280046538E-3</v>
      </c>
      <c r="J948" s="3">
        <f t="shared" si="88"/>
        <v>2.192520398753748E-2</v>
      </c>
      <c r="K948" s="3" t="str">
        <f t="shared" si="89"/>
        <v>Normal</v>
      </c>
      <c r="L948" s="4">
        <f>VALUE(A948)</f>
        <v>42767</v>
      </c>
    </row>
    <row r="949" spans="1:12">
      <c r="A949" s="5">
        <v>42768</v>
      </c>
      <c r="B949" s="3">
        <v>839.95001200000002</v>
      </c>
      <c r="C949" s="3">
        <v>171.28375199999999</v>
      </c>
      <c r="D949" s="3">
        <v>1003.969971</v>
      </c>
      <c r="E949" s="3">
        <v>139.199997</v>
      </c>
      <c r="F949" s="3">
        <f t="shared" si="84"/>
        <v>2017</v>
      </c>
      <c r="G949" s="3" t="str">
        <f t="shared" si="85"/>
        <v>Feb</v>
      </c>
      <c r="H949" s="3" t="str">
        <f t="shared" si="86"/>
        <v>Q1</v>
      </c>
      <c r="I949" s="3">
        <f t="shared" si="87"/>
        <v>-3.5418774421066383E-2</v>
      </c>
      <c r="J949" s="3">
        <f t="shared" si="88"/>
        <v>9.0142626387378858E-3</v>
      </c>
      <c r="K949" s="3" t="str">
        <f t="shared" si="89"/>
        <v>Normal</v>
      </c>
      <c r="L949" s="4">
        <f>VALUE(A949)</f>
        <v>42768</v>
      </c>
    </row>
    <row r="950" spans="1:12">
      <c r="A950" s="5">
        <v>42769</v>
      </c>
      <c r="B950" s="3">
        <v>810.20001200000002</v>
      </c>
      <c r="C950" s="3">
        <v>172.24345400000001</v>
      </c>
      <c r="D950" s="3">
        <v>1013.02002</v>
      </c>
      <c r="E950" s="3">
        <v>140.25</v>
      </c>
      <c r="F950" s="3">
        <f t="shared" si="84"/>
        <v>2017</v>
      </c>
      <c r="G950" s="3" t="str">
        <f t="shared" si="85"/>
        <v>Feb</v>
      </c>
      <c r="H950" s="3" t="str">
        <f t="shared" si="86"/>
        <v>Q1</v>
      </c>
      <c r="I950" s="3">
        <f t="shared" si="87"/>
        <v>-3.1597099013620684E-3</v>
      </c>
      <c r="J950" s="3">
        <f t="shared" si="88"/>
        <v>1.1500289994268737E-2</v>
      </c>
      <c r="K950" s="3" t="str">
        <f t="shared" si="89"/>
        <v>Normal</v>
      </c>
      <c r="L950" s="4">
        <f>VALUE(A950)</f>
        <v>42769</v>
      </c>
    </row>
    <row r="951" spans="1:12">
      <c r="A951" s="5">
        <v>42772</v>
      </c>
      <c r="B951" s="3">
        <v>807.64001499999995</v>
      </c>
      <c r="C951" s="3">
        <v>174.25093100000001</v>
      </c>
      <c r="D951" s="3">
        <v>1024.670044</v>
      </c>
      <c r="E951" s="3">
        <v>140.970001</v>
      </c>
      <c r="F951" s="3">
        <f t="shared" si="84"/>
        <v>2017</v>
      </c>
      <c r="G951" s="3" t="str">
        <f t="shared" si="85"/>
        <v>Feb</v>
      </c>
      <c r="H951" s="3" t="str">
        <f t="shared" si="86"/>
        <v>Q1</v>
      </c>
      <c r="I951" s="3">
        <f t="shared" si="87"/>
        <v>6.0175138796212963E-3</v>
      </c>
      <c r="J951" s="3">
        <f t="shared" si="88"/>
        <v>2.4290760860771244E-2</v>
      </c>
      <c r="K951" s="3" t="str">
        <f t="shared" si="89"/>
        <v>Normal</v>
      </c>
      <c r="L951" s="4">
        <f>VALUE(A951)</f>
        <v>42772</v>
      </c>
    </row>
    <row r="952" spans="1:12">
      <c r="A952" s="5">
        <v>42773</v>
      </c>
      <c r="B952" s="3">
        <v>812.5</v>
      </c>
      <c r="C952" s="3">
        <v>179.166855</v>
      </c>
      <c r="D952" s="3">
        <v>1049.5600589999999</v>
      </c>
      <c r="E952" s="3">
        <v>144</v>
      </c>
      <c r="F952" s="3">
        <f t="shared" si="84"/>
        <v>2017</v>
      </c>
      <c r="G952" s="3" t="str">
        <f t="shared" si="85"/>
        <v>Feb</v>
      </c>
      <c r="H952" s="3" t="str">
        <f t="shared" si="86"/>
        <v>Q1</v>
      </c>
      <c r="I952" s="3">
        <f t="shared" si="87"/>
        <v>8.8738732307692067E-3</v>
      </c>
      <c r="J952" s="3">
        <f t="shared" si="88"/>
        <v>5.6499206016376478E-3</v>
      </c>
      <c r="K952" s="3" t="str">
        <f t="shared" si="89"/>
        <v>Normal</v>
      </c>
      <c r="L952" s="4">
        <f>VALUE(A952)</f>
        <v>42773</v>
      </c>
    </row>
    <row r="953" spans="1:12">
      <c r="A953" s="5">
        <v>42774</v>
      </c>
      <c r="B953" s="3">
        <v>819.71002199999998</v>
      </c>
      <c r="C953" s="3">
        <v>181.34082000000001</v>
      </c>
      <c r="D953" s="3">
        <v>1055.48999</v>
      </c>
      <c r="E953" s="3">
        <v>144.740005</v>
      </c>
      <c r="F953" s="3">
        <f t="shared" si="84"/>
        <v>2017</v>
      </c>
      <c r="G953" s="3" t="str">
        <f t="shared" si="85"/>
        <v>Feb</v>
      </c>
      <c r="H953" s="3" t="str">
        <f t="shared" si="86"/>
        <v>Q1</v>
      </c>
      <c r="I953" s="3">
        <f t="shared" si="87"/>
        <v>2.0128618117591719E-3</v>
      </c>
      <c r="J953" s="3">
        <f t="shared" si="88"/>
        <v>-7.2506578674422159E-2</v>
      </c>
      <c r="K953" s="3" t="str">
        <f t="shared" si="89"/>
        <v>High Volatility</v>
      </c>
      <c r="L953" s="4">
        <f>VALUE(A953)</f>
        <v>42774</v>
      </c>
    </row>
    <row r="954" spans="1:12">
      <c r="A954" s="5">
        <v>42775</v>
      </c>
      <c r="B954" s="3">
        <v>821.35998500000005</v>
      </c>
      <c r="C954" s="3">
        <v>182.04591400000001</v>
      </c>
      <c r="D954" s="3">
        <v>978.96002199999998</v>
      </c>
      <c r="E954" s="3">
        <v>144.13999899999999</v>
      </c>
      <c r="F954" s="3">
        <f t="shared" si="84"/>
        <v>2017</v>
      </c>
      <c r="G954" s="3" t="str">
        <f t="shared" si="85"/>
        <v>Feb</v>
      </c>
      <c r="H954" s="3" t="str">
        <f t="shared" si="86"/>
        <v>Q1</v>
      </c>
      <c r="I954" s="3">
        <f t="shared" si="87"/>
        <v>7.4267521079687477E-3</v>
      </c>
      <c r="J954" s="3">
        <f t="shared" si="88"/>
        <v>1.9050791228326657E-2</v>
      </c>
      <c r="K954" s="3" t="str">
        <f t="shared" si="89"/>
        <v>Normal</v>
      </c>
      <c r="L954" s="4">
        <f>VALUE(A954)</f>
        <v>42775</v>
      </c>
    </row>
    <row r="955" spans="1:12">
      <c r="A955" s="5">
        <v>42776</v>
      </c>
      <c r="B955" s="3">
        <v>827.46002199999998</v>
      </c>
      <c r="C955" s="3">
        <v>182.50614899999999</v>
      </c>
      <c r="D955" s="3">
        <v>997.60998500000005</v>
      </c>
      <c r="E955" s="3">
        <v>144.820007</v>
      </c>
      <c r="F955" s="3">
        <f t="shared" si="84"/>
        <v>2017</v>
      </c>
      <c r="G955" s="3" t="str">
        <f t="shared" si="85"/>
        <v>Feb</v>
      </c>
      <c r="H955" s="3" t="str">
        <f t="shared" si="86"/>
        <v>Q1</v>
      </c>
      <c r="I955" s="3">
        <f t="shared" si="87"/>
        <v>1.0961263092901463E-2</v>
      </c>
      <c r="J955" s="3">
        <f t="shared" si="88"/>
        <v>-2.2553904169273125E-3</v>
      </c>
      <c r="K955" s="3" t="str">
        <f t="shared" si="89"/>
        <v>Normal</v>
      </c>
      <c r="L955" s="4">
        <f>VALUE(A955)</f>
        <v>42776</v>
      </c>
    </row>
    <row r="956" spans="1:12">
      <c r="A956" s="5">
        <v>42779</v>
      </c>
      <c r="B956" s="3">
        <v>836.53002900000001</v>
      </c>
      <c r="C956" s="3">
        <v>179.98945599999999</v>
      </c>
      <c r="D956" s="3">
        <v>995.35998500000005</v>
      </c>
      <c r="E956" s="3">
        <v>143.199997</v>
      </c>
      <c r="F956" s="3">
        <f t="shared" si="84"/>
        <v>2017</v>
      </c>
      <c r="G956" s="3" t="str">
        <f t="shared" si="85"/>
        <v>Feb</v>
      </c>
      <c r="H956" s="3" t="str">
        <f t="shared" si="86"/>
        <v>Q1</v>
      </c>
      <c r="I956" s="3">
        <f t="shared" si="87"/>
        <v>-1.6737474465494017E-4</v>
      </c>
      <c r="J956" s="3">
        <f t="shared" si="88"/>
        <v>1.3040550349228587E-2</v>
      </c>
      <c r="K956" s="3" t="str">
        <f t="shared" si="89"/>
        <v>Normal</v>
      </c>
      <c r="L956" s="4">
        <f>VALUE(A956)</f>
        <v>42779</v>
      </c>
    </row>
    <row r="957" spans="1:12">
      <c r="A957" s="5">
        <v>42780</v>
      </c>
      <c r="B957" s="3">
        <v>836.39001499999995</v>
      </c>
      <c r="C957" s="3">
        <v>181.07641599999999</v>
      </c>
      <c r="D957" s="3">
        <v>1008.340027</v>
      </c>
      <c r="E957" s="3">
        <v>140.820007</v>
      </c>
      <c r="F957" s="3">
        <f t="shared" si="84"/>
        <v>2017</v>
      </c>
      <c r="G957" s="3" t="str">
        <f t="shared" si="85"/>
        <v>Feb</v>
      </c>
      <c r="H957" s="3" t="str">
        <f t="shared" si="86"/>
        <v>Q1</v>
      </c>
      <c r="I957" s="3">
        <f t="shared" si="87"/>
        <v>7.5443236849259462E-3</v>
      </c>
      <c r="J957" s="3">
        <f t="shared" si="88"/>
        <v>-1.4878413628611627E-4</v>
      </c>
      <c r="K957" s="3" t="str">
        <f t="shared" si="89"/>
        <v>Normal</v>
      </c>
      <c r="L957" s="4">
        <f>VALUE(A957)</f>
        <v>42780</v>
      </c>
    </row>
    <row r="958" spans="1:12">
      <c r="A958" s="5">
        <v>42781</v>
      </c>
      <c r="B958" s="3">
        <v>842.70001200000002</v>
      </c>
      <c r="C958" s="3">
        <v>182.08509799999999</v>
      </c>
      <c r="D958" s="3">
        <v>1008.190002</v>
      </c>
      <c r="E958" s="3">
        <v>142.270004</v>
      </c>
      <c r="F958" s="3">
        <f t="shared" si="84"/>
        <v>2017</v>
      </c>
      <c r="G958" s="3" t="str">
        <f t="shared" si="85"/>
        <v>Feb</v>
      </c>
      <c r="H958" s="3" t="str">
        <f t="shared" si="86"/>
        <v>Q1</v>
      </c>
      <c r="I958" s="3">
        <f t="shared" si="87"/>
        <v>1.7087967004798539E-3</v>
      </c>
      <c r="J958" s="3">
        <f t="shared" si="88"/>
        <v>2.3547200381778707E-2</v>
      </c>
      <c r="K958" s="3" t="str">
        <f t="shared" si="89"/>
        <v>Normal</v>
      </c>
      <c r="L958" s="4">
        <f>VALUE(A958)</f>
        <v>42781</v>
      </c>
    </row>
    <row r="959" spans="1:12">
      <c r="A959" s="5">
        <v>42782</v>
      </c>
      <c r="B959" s="3">
        <v>844.14001499999995</v>
      </c>
      <c r="C959" s="3">
        <v>182.24179100000001</v>
      </c>
      <c r="D959" s="3">
        <v>1031.9300539999999</v>
      </c>
      <c r="E959" s="3">
        <v>142.009995</v>
      </c>
      <c r="F959" s="3">
        <f t="shared" si="84"/>
        <v>2017</v>
      </c>
      <c r="G959" s="3" t="str">
        <f t="shared" si="85"/>
        <v>Feb</v>
      </c>
      <c r="H959" s="3" t="str">
        <f t="shared" si="86"/>
        <v>Q1</v>
      </c>
      <c r="I959" s="3">
        <f t="shared" si="87"/>
        <v>1.1017034893199369E-3</v>
      </c>
      <c r="J959" s="3">
        <f t="shared" si="88"/>
        <v>1.6939113200786834E-2</v>
      </c>
      <c r="K959" s="3" t="str">
        <f t="shared" si="89"/>
        <v>Normal</v>
      </c>
      <c r="L959" s="4">
        <f>VALUE(A959)</f>
        <v>42782</v>
      </c>
    </row>
    <row r="960" spans="1:12">
      <c r="A960" s="5">
        <v>42783</v>
      </c>
      <c r="B960" s="3">
        <v>845.07000700000003</v>
      </c>
      <c r="C960" s="3">
        <v>184.03379799999999</v>
      </c>
      <c r="D960" s="3">
        <v>1049.410034</v>
      </c>
      <c r="E960" s="3">
        <v>142.220001</v>
      </c>
      <c r="F960" s="3">
        <f t="shared" si="84"/>
        <v>2017</v>
      </c>
      <c r="G960" s="3" t="str">
        <f t="shared" si="85"/>
        <v>Feb</v>
      </c>
      <c r="H960" s="3" t="str">
        <f t="shared" si="86"/>
        <v>Q1</v>
      </c>
      <c r="I960" s="3">
        <f t="shared" si="87"/>
        <v>1.3454500699135589E-2</v>
      </c>
      <c r="J960" s="3">
        <f t="shared" si="88"/>
        <v>6.6342032898839248E-2</v>
      </c>
      <c r="K960" s="3" t="str">
        <f t="shared" si="89"/>
        <v>High Volatility</v>
      </c>
      <c r="L960" s="4">
        <f>VALUE(A960)</f>
        <v>42783</v>
      </c>
    </row>
    <row r="961" spans="1:12">
      <c r="A961" s="5">
        <v>42787</v>
      </c>
      <c r="B961" s="3">
        <v>856.44000200000005</v>
      </c>
      <c r="C961" s="3">
        <v>185.00329600000001</v>
      </c>
      <c r="D961" s="3">
        <v>1119.030029</v>
      </c>
      <c r="E961" s="3">
        <v>142.60000600000001</v>
      </c>
      <c r="F961" s="3">
        <f t="shared" si="84"/>
        <v>2017</v>
      </c>
      <c r="G961" s="3" t="str">
        <f t="shared" si="85"/>
        <v>Feb</v>
      </c>
      <c r="H961" s="3" t="str">
        <f t="shared" si="86"/>
        <v>Q1</v>
      </c>
      <c r="I961" s="3">
        <f t="shared" si="87"/>
        <v>-9.6914786565515645E-4</v>
      </c>
      <c r="J961" s="3">
        <f t="shared" si="88"/>
        <v>1.2778316604048952E-3</v>
      </c>
      <c r="K961" s="3" t="str">
        <f t="shared" si="89"/>
        <v>Normal</v>
      </c>
      <c r="L961" s="4">
        <f>VALUE(A961)</f>
        <v>42787</v>
      </c>
    </row>
    <row r="962" spans="1:12">
      <c r="A962" s="5">
        <v>42788</v>
      </c>
      <c r="B962" s="3">
        <v>855.60998500000005</v>
      </c>
      <c r="C962" s="3">
        <v>179.20602400000001</v>
      </c>
      <c r="D962" s="3">
        <v>1120.459961</v>
      </c>
      <c r="E962" s="3">
        <v>143.86000100000001</v>
      </c>
      <c r="F962" s="3">
        <f t="shared" si="84"/>
        <v>2017</v>
      </c>
      <c r="G962" s="3" t="str">
        <f t="shared" si="85"/>
        <v>Feb</v>
      </c>
      <c r="H962" s="3" t="str">
        <f t="shared" si="86"/>
        <v>Q1</v>
      </c>
      <c r="I962" s="3">
        <f t="shared" si="87"/>
        <v>-3.9971284346336866E-3</v>
      </c>
      <c r="J962" s="3">
        <f t="shared" si="88"/>
        <v>4.591870730845328E-2</v>
      </c>
      <c r="K962" s="3" t="str">
        <f t="shared" si="89"/>
        <v>Normal</v>
      </c>
      <c r="L962" s="4">
        <f>VALUE(A962)</f>
        <v>42788</v>
      </c>
    </row>
    <row r="963" spans="1:12">
      <c r="A963" s="5">
        <v>42789</v>
      </c>
      <c r="B963" s="3">
        <v>852.19000200000005</v>
      </c>
      <c r="C963" s="3">
        <v>182.43760700000001</v>
      </c>
      <c r="D963" s="3">
        <v>1171.910034</v>
      </c>
      <c r="E963" s="3">
        <v>142.779999</v>
      </c>
      <c r="F963" s="3">
        <f t="shared" ref="F963:F1026" si="90">YEAR(A963)</f>
        <v>2017</v>
      </c>
      <c r="G963" s="3" t="str">
        <f t="shared" ref="G963:G1026" si="91">TEXT(A963,"MMM")</f>
        <v>Feb</v>
      </c>
      <c r="H963" s="3" t="str">
        <f t="shared" ref="H963:H1026" si="92">"Q"&amp;ROUNDUP(MONTH(A963)/3,0)</f>
        <v>Q1</v>
      </c>
      <c r="I963" s="3">
        <f t="shared" ref="I963:I1026" si="93">(B964-B963)/B963</f>
        <v>-8.1554723520448139E-3</v>
      </c>
      <c r="J963" s="3">
        <f t="shared" ref="J963:J1026" si="94">(D964-D963)/D963</f>
        <v>3.9081122843257765E-3</v>
      </c>
      <c r="K963" s="3" t="str">
        <f t="shared" ref="K963:K1026" si="95">IF(J963="","",IF(ABS(J963)&gt;0.05,"High Volatility","Normal"))</f>
        <v>Normal</v>
      </c>
      <c r="L963" s="4">
        <f>VALUE(A963)</f>
        <v>42789</v>
      </c>
    </row>
    <row r="964" spans="1:12">
      <c r="A964" s="5">
        <v>42790</v>
      </c>
      <c r="B964" s="3">
        <v>845.23999000000003</v>
      </c>
      <c r="C964" s="3">
        <v>182.41802999999999</v>
      </c>
      <c r="D964" s="3">
        <v>1176.48999</v>
      </c>
      <c r="E964" s="3">
        <v>143.25</v>
      </c>
      <c r="F964" s="3">
        <f t="shared" si="90"/>
        <v>2017</v>
      </c>
      <c r="G964" s="3" t="str">
        <f t="shared" si="91"/>
        <v>Feb</v>
      </c>
      <c r="H964" s="3" t="str">
        <f t="shared" si="92"/>
        <v>Q1</v>
      </c>
      <c r="I964" s="3">
        <f t="shared" si="93"/>
        <v>4.0225557714086788E-3</v>
      </c>
      <c r="J964" s="3">
        <f t="shared" si="94"/>
        <v>1.0488798123985741E-2</v>
      </c>
      <c r="K964" s="3" t="str">
        <f t="shared" si="95"/>
        <v>Normal</v>
      </c>
      <c r="L964" s="4">
        <f>VALUE(A964)</f>
        <v>42790</v>
      </c>
    </row>
    <row r="965" spans="1:12">
      <c r="A965" s="5">
        <v>42793</v>
      </c>
      <c r="B965" s="3">
        <v>848.64001499999995</v>
      </c>
      <c r="C965" s="3">
        <v>181.575851</v>
      </c>
      <c r="D965" s="3">
        <v>1188.829956</v>
      </c>
      <c r="E965" s="3">
        <v>143.41000399999999</v>
      </c>
      <c r="F965" s="3">
        <f t="shared" si="90"/>
        <v>2017</v>
      </c>
      <c r="G965" s="3" t="str">
        <f t="shared" si="91"/>
        <v>Feb</v>
      </c>
      <c r="H965" s="3" t="str">
        <f t="shared" si="92"/>
        <v>Q1</v>
      </c>
      <c r="I965" s="3">
        <f t="shared" si="93"/>
        <v>-4.2421249721531565E-3</v>
      </c>
      <c r="J965" s="3">
        <f t="shared" si="94"/>
        <v>3.7016563872646304E-4</v>
      </c>
      <c r="K965" s="3" t="str">
        <f t="shared" si="95"/>
        <v>Normal</v>
      </c>
      <c r="L965" s="4">
        <f>VALUE(A965)</f>
        <v>42793</v>
      </c>
    </row>
    <row r="966" spans="1:12">
      <c r="A966" s="5">
        <v>42794</v>
      </c>
      <c r="B966" s="3">
        <v>845.03997800000002</v>
      </c>
      <c r="C966" s="3">
        <v>185.874832</v>
      </c>
      <c r="D966" s="3">
        <v>1189.2700199999999</v>
      </c>
      <c r="E966" s="3">
        <v>142.13000500000001</v>
      </c>
      <c r="F966" s="3">
        <f t="shared" si="90"/>
        <v>2017</v>
      </c>
      <c r="G966" s="3" t="str">
        <f t="shared" si="91"/>
        <v>Feb</v>
      </c>
      <c r="H966" s="3" t="str">
        <f t="shared" si="92"/>
        <v>Q1</v>
      </c>
      <c r="I966" s="3">
        <f t="shared" si="93"/>
        <v>9.5143889156921978E-3</v>
      </c>
      <c r="J966" s="3">
        <f t="shared" si="94"/>
        <v>2.8076057950237463E-2</v>
      </c>
      <c r="K966" s="3" t="str">
        <f t="shared" si="95"/>
        <v>Normal</v>
      </c>
      <c r="L966" s="4">
        <f>VALUE(A966)</f>
        <v>42794</v>
      </c>
    </row>
    <row r="967" spans="1:12">
      <c r="A967" s="5">
        <v>42795</v>
      </c>
      <c r="B967" s="3">
        <v>853.080017</v>
      </c>
      <c r="C967" s="3">
        <v>183.563782</v>
      </c>
      <c r="D967" s="3">
        <v>1222.660034</v>
      </c>
      <c r="E967" s="3">
        <v>142.64999399999999</v>
      </c>
      <c r="F967" s="3">
        <f t="shared" si="90"/>
        <v>2017</v>
      </c>
      <c r="G967" s="3" t="str">
        <f t="shared" si="91"/>
        <v>Mar</v>
      </c>
      <c r="H967" s="3" t="str">
        <f t="shared" si="92"/>
        <v>Q1</v>
      </c>
      <c r="I967" s="3">
        <f t="shared" si="93"/>
        <v>-4.8882214058472801E-3</v>
      </c>
      <c r="J967" s="3">
        <f t="shared" si="94"/>
        <v>2.6834881395984184E-2</v>
      </c>
      <c r="K967" s="3" t="str">
        <f t="shared" si="95"/>
        <v>Normal</v>
      </c>
      <c r="L967" s="4">
        <f>VALUE(A967)</f>
        <v>42795</v>
      </c>
    </row>
    <row r="968" spans="1:12">
      <c r="A968" s="5">
        <v>42796</v>
      </c>
      <c r="B968" s="3">
        <v>848.90997300000004</v>
      </c>
      <c r="C968" s="3">
        <v>185.44395399999999</v>
      </c>
      <c r="D968" s="3">
        <v>1255.469971</v>
      </c>
      <c r="E968" s="3">
        <v>139.529999</v>
      </c>
      <c r="F968" s="3">
        <f t="shared" si="90"/>
        <v>2017</v>
      </c>
      <c r="G968" s="3" t="str">
        <f t="shared" si="91"/>
        <v>Mar</v>
      </c>
      <c r="H968" s="3" t="str">
        <f t="shared" si="92"/>
        <v>Q1</v>
      </c>
      <c r="I968" s="3">
        <f t="shared" si="93"/>
        <v>1.1426794723260324E-3</v>
      </c>
      <c r="J968" s="3">
        <f t="shared" si="94"/>
        <v>2.2167059860326965E-2</v>
      </c>
      <c r="K968" s="3" t="str">
        <f t="shared" si="95"/>
        <v>Normal</v>
      </c>
      <c r="L968" s="4">
        <f>VALUE(A968)</f>
        <v>42796</v>
      </c>
    </row>
    <row r="969" spans="1:12">
      <c r="A969" s="5">
        <v>42797</v>
      </c>
      <c r="B969" s="3">
        <v>849.88000499999998</v>
      </c>
      <c r="C969" s="3">
        <v>185.12080399999999</v>
      </c>
      <c r="D969" s="3">
        <v>1283.3000489999999</v>
      </c>
      <c r="E969" s="3">
        <v>139.13999899999999</v>
      </c>
      <c r="F969" s="3">
        <f t="shared" si="90"/>
        <v>2017</v>
      </c>
      <c r="G969" s="3" t="str">
        <f t="shared" si="91"/>
        <v>Mar</v>
      </c>
      <c r="H969" s="3" t="str">
        <f t="shared" si="92"/>
        <v>Q1</v>
      </c>
      <c r="I969" s="3">
        <f t="shared" si="93"/>
        <v>-3.8476255244996984E-3</v>
      </c>
      <c r="J969" s="3">
        <f t="shared" si="94"/>
        <v>-4.9014562143135862E-3</v>
      </c>
      <c r="K969" s="3" t="str">
        <f t="shared" si="95"/>
        <v>Normal</v>
      </c>
      <c r="L969" s="4">
        <f>VALUE(A969)</f>
        <v>42797</v>
      </c>
    </row>
    <row r="970" spans="1:12">
      <c r="A970" s="5">
        <v>42800</v>
      </c>
      <c r="B970" s="3">
        <v>846.60998500000005</v>
      </c>
      <c r="C970" s="3">
        <v>184.973938</v>
      </c>
      <c r="D970" s="3">
        <v>1277.01001</v>
      </c>
      <c r="E970" s="3">
        <v>141.94000199999999</v>
      </c>
      <c r="F970" s="3">
        <f t="shared" si="90"/>
        <v>2017</v>
      </c>
      <c r="G970" s="3" t="str">
        <f t="shared" si="91"/>
        <v>Mar</v>
      </c>
      <c r="H970" s="3" t="str">
        <f t="shared" si="92"/>
        <v>Q1</v>
      </c>
      <c r="I970" s="3">
        <f t="shared" si="93"/>
        <v>-6.9685570741290801E-4</v>
      </c>
      <c r="J970" s="3">
        <f t="shared" si="94"/>
        <v>-3.4706124973914558E-2</v>
      </c>
      <c r="K970" s="3" t="str">
        <f t="shared" si="95"/>
        <v>Normal</v>
      </c>
      <c r="L970" s="4">
        <f>VALUE(A970)</f>
        <v>42800</v>
      </c>
    </row>
    <row r="971" spans="1:12">
      <c r="A971" s="5">
        <v>42801</v>
      </c>
      <c r="B971" s="3">
        <v>846.02002000000005</v>
      </c>
      <c r="C971" s="3">
        <v>185.37541200000001</v>
      </c>
      <c r="D971" s="3">
        <v>1232.6899410000001</v>
      </c>
      <c r="E971" s="3">
        <v>141.429993</v>
      </c>
      <c r="F971" s="3">
        <f t="shared" si="90"/>
        <v>2017</v>
      </c>
      <c r="G971" s="3" t="str">
        <f t="shared" si="91"/>
        <v>Mar</v>
      </c>
      <c r="H971" s="3" t="str">
        <f t="shared" si="92"/>
        <v>Q1</v>
      </c>
      <c r="I971" s="3">
        <f t="shared" si="93"/>
        <v>5.295359322584299E-3</v>
      </c>
      <c r="J971" s="3">
        <f t="shared" si="94"/>
        <v>-6.9538954727302427E-2</v>
      </c>
      <c r="K971" s="3" t="str">
        <f t="shared" si="95"/>
        <v>High Volatility</v>
      </c>
      <c r="L971" s="4">
        <f>VALUE(A971)</f>
        <v>42801</v>
      </c>
    </row>
    <row r="972" spans="1:12">
      <c r="A972" s="5">
        <v>42802</v>
      </c>
      <c r="B972" s="3">
        <v>850.5</v>
      </c>
      <c r="C972" s="3">
        <v>184.45489499999999</v>
      </c>
      <c r="D972" s="3">
        <v>1146.969971</v>
      </c>
      <c r="E972" s="3">
        <v>140.320007</v>
      </c>
      <c r="F972" s="3">
        <f t="shared" si="90"/>
        <v>2017</v>
      </c>
      <c r="G972" s="3" t="str">
        <f t="shared" si="91"/>
        <v>Mar</v>
      </c>
      <c r="H972" s="3" t="str">
        <f t="shared" si="92"/>
        <v>Q1</v>
      </c>
      <c r="I972" s="3">
        <f t="shared" si="93"/>
        <v>2.9394473838918285E-3</v>
      </c>
      <c r="J972" s="3">
        <f t="shared" si="94"/>
        <v>3.8675803309239427E-2</v>
      </c>
      <c r="K972" s="3" t="str">
        <f t="shared" si="95"/>
        <v>Normal</v>
      </c>
      <c r="L972" s="4">
        <f>VALUE(A972)</f>
        <v>42802</v>
      </c>
    </row>
    <row r="973" spans="1:12">
      <c r="A973" s="5">
        <v>42803</v>
      </c>
      <c r="B973" s="3">
        <v>853</v>
      </c>
      <c r="C973" s="3">
        <v>180.86099200000001</v>
      </c>
      <c r="D973" s="3">
        <v>1191.329956</v>
      </c>
      <c r="E973" s="3">
        <v>140.529999</v>
      </c>
      <c r="F973" s="3">
        <f t="shared" si="90"/>
        <v>2017</v>
      </c>
      <c r="G973" s="3" t="str">
        <f t="shared" si="91"/>
        <v>Mar</v>
      </c>
      <c r="H973" s="3" t="str">
        <f t="shared" si="92"/>
        <v>Q1</v>
      </c>
      <c r="I973" s="3">
        <f t="shared" si="93"/>
        <v>-6.3303399765535662E-4</v>
      </c>
      <c r="J973" s="3">
        <f t="shared" si="94"/>
        <v>-6.6262029761299884E-2</v>
      </c>
      <c r="K973" s="3" t="str">
        <f t="shared" si="95"/>
        <v>High Volatility</v>
      </c>
      <c r="L973" s="4">
        <f>VALUE(A973)</f>
        <v>42803</v>
      </c>
    </row>
    <row r="974" spans="1:12">
      <c r="A974" s="5">
        <v>42804</v>
      </c>
      <c r="B974" s="3">
        <v>852.46002199999998</v>
      </c>
      <c r="C974" s="3">
        <v>182.85870399999999</v>
      </c>
      <c r="D974" s="3">
        <v>1112.3900149999999</v>
      </c>
      <c r="E974" s="3">
        <v>140.88999899999999</v>
      </c>
      <c r="F974" s="3">
        <f t="shared" si="90"/>
        <v>2017</v>
      </c>
      <c r="G974" s="3" t="str">
        <f t="shared" si="91"/>
        <v>Mar</v>
      </c>
      <c r="H974" s="3" t="str">
        <f t="shared" si="92"/>
        <v>Q1</v>
      </c>
      <c r="I974" s="3">
        <f t="shared" si="93"/>
        <v>2.4986567639883796E-3</v>
      </c>
      <c r="J974" s="3">
        <f t="shared" si="94"/>
        <v>0.11308976555313664</v>
      </c>
      <c r="K974" s="3" t="str">
        <f t="shared" si="95"/>
        <v>High Volatility</v>
      </c>
      <c r="L974" s="4">
        <f>VALUE(A974)</f>
        <v>42804</v>
      </c>
    </row>
    <row r="975" spans="1:12">
      <c r="A975" s="5">
        <v>42807</v>
      </c>
      <c r="B975" s="3">
        <v>854.59002699999996</v>
      </c>
      <c r="C975" s="3">
        <v>183.369202</v>
      </c>
      <c r="D975" s="3">
        <v>1238.1899410000001</v>
      </c>
      <c r="E975" s="3">
        <v>143.520004</v>
      </c>
      <c r="F975" s="3">
        <f t="shared" si="90"/>
        <v>2017</v>
      </c>
      <c r="G975" s="3" t="str">
        <f t="shared" si="91"/>
        <v>Mar</v>
      </c>
      <c r="H975" s="3" t="str">
        <f t="shared" si="92"/>
        <v>Q1</v>
      </c>
      <c r="I975" s="3">
        <f t="shared" si="93"/>
        <v>-2.4105102270283699E-3</v>
      </c>
      <c r="J975" s="3">
        <f t="shared" si="94"/>
        <v>3.9978308949934023E-3</v>
      </c>
      <c r="K975" s="3" t="str">
        <f t="shared" si="95"/>
        <v>Normal</v>
      </c>
      <c r="L975" s="4">
        <f>VALUE(A975)</f>
        <v>42807</v>
      </c>
    </row>
    <row r="976" spans="1:12">
      <c r="A976" s="5">
        <v>42808</v>
      </c>
      <c r="B976" s="3">
        <v>852.53002900000001</v>
      </c>
      <c r="C976" s="3">
        <v>180.30630500000001</v>
      </c>
      <c r="D976" s="3">
        <v>1243.1400149999999</v>
      </c>
      <c r="E976" s="3">
        <v>143.19000199999999</v>
      </c>
      <c r="F976" s="3">
        <f t="shared" si="90"/>
        <v>2017</v>
      </c>
      <c r="G976" s="3" t="str">
        <f t="shared" si="91"/>
        <v>Mar</v>
      </c>
      <c r="H976" s="3" t="str">
        <f t="shared" si="92"/>
        <v>Q1</v>
      </c>
      <c r="I976" s="3">
        <f t="shared" si="93"/>
        <v>5.1604281964826092E-4</v>
      </c>
      <c r="J976" s="3">
        <f t="shared" si="94"/>
        <v>8.2774577890166127E-3</v>
      </c>
      <c r="K976" s="3" t="str">
        <f t="shared" si="95"/>
        <v>Normal</v>
      </c>
      <c r="L976" s="4">
        <f>VALUE(A976)</f>
        <v>42808</v>
      </c>
    </row>
    <row r="977" spans="1:12">
      <c r="A977" s="5">
        <v>42809</v>
      </c>
      <c r="B977" s="3">
        <v>852.96997099999999</v>
      </c>
      <c r="C977" s="3">
        <v>182.85871900000001</v>
      </c>
      <c r="D977" s="3">
        <v>1253.4300539999999</v>
      </c>
      <c r="E977" s="3">
        <v>145.25</v>
      </c>
      <c r="F977" s="3">
        <f t="shared" si="90"/>
        <v>2017</v>
      </c>
      <c r="G977" s="3" t="str">
        <f t="shared" si="91"/>
        <v>Mar</v>
      </c>
      <c r="H977" s="3" t="str">
        <f t="shared" si="92"/>
        <v>Q1</v>
      </c>
      <c r="I977" s="3">
        <f t="shared" si="93"/>
        <v>5.2758246515106823E-4</v>
      </c>
      <c r="J977" s="3">
        <f t="shared" si="94"/>
        <v>-6.4263696839680168E-2</v>
      </c>
      <c r="K977" s="3" t="str">
        <f t="shared" si="95"/>
        <v>High Volatility</v>
      </c>
      <c r="L977" s="4">
        <f>VALUE(A977)</f>
        <v>42809</v>
      </c>
    </row>
    <row r="978" spans="1:12">
      <c r="A978" s="5">
        <v>42810</v>
      </c>
      <c r="B978" s="3">
        <v>853.419983</v>
      </c>
      <c r="C978" s="3">
        <v>182.220596</v>
      </c>
      <c r="D978" s="3">
        <v>1172.880005</v>
      </c>
      <c r="E978" s="3">
        <v>144.38999899999999</v>
      </c>
      <c r="F978" s="3">
        <f t="shared" si="90"/>
        <v>2017</v>
      </c>
      <c r="G978" s="3" t="str">
        <f t="shared" si="91"/>
        <v>Mar</v>
      </c>
      <c r="H978" s="3" t="str">
        <f t="shared" si="92"/>
        <v>Q1</v>
      </c>
      <c r="I978" s="3">
        <f t="shared" si="93"/>
        <v>-1.3006316023889629E-3</v>
      </c>
      <c r="J978" s="3">
        <f t="shared" si="94"/>
        <v>-8.6257795826266095E-2</v>
      </c>
      <c r="K978" s="3" t="str">
        <f t="shared" si="95"/>
        <v>High Volatility</v>
      </c>
      <c r="L978" s="4">
        <f>VALUE(A978)</f>
        <v>42810</v>
      </c>
    </row>
    <row r="979" spans="1:12">
      <c r="A979" s="5">
        <v>42811</v>
      </c>
      <c r="B979" s="3">
        <v>852.30999799999995</v>
      </c>
      <c r="C979" s="3">
        <v>181.445053</v>
      </c>
      <c r="D979" s="3">
        <v>1071.709961</v>
      </c>
      <c r="E979" s="3">
        <v>145.11000100000001</v>
      </c>
      <c r="F979" s="3">
        <f t="shared" si="90"/>
        <v>2017</v>
      </c>
      <c r="G979" s="3" t="str">
        <f t="shared" si="91"/>
        <v>Mar</v>
      </c>
      <c r="H979" s="3" t="str">
        <f t="shared" si="92"/>
        <v>Q1</v>
      </c>
      <c r="I979" s="3">
        <f t="shared" si="93"/>
        <v>5.4674625558012481E-3</v>
      </c>
      <c r="J979" s="3">
        <f t="shared" si="94"/>
        <v>-2.2580690560549951E-2</v>
      </c>
      <c r="K979" s="3" t="str">
        <f t="shared" si="95"/>
        <v>Normal</v>
      </c>
      <c r="L979" s="4">
        <f>VALUE(A979)</f>
        <v>42811</v>
      </c>
    </row>
    <row r="980" spans="1:12">
      <c r="A980" s="5">
        <v>42814</v>
      </c>
      <c r="B980" s="3">
        <v>856.96997099999999</v>
      </c>
      <c r="C980" s="3">
        <v>180.32595800000001</v>
      </c>
      <c r="D980" s="3">
        <v>1047.51001</v>
      </c>
      <c r="E980" s="3">
        <v>145.83000200000001</v>
      </c>
      <c r="F980" s="3">
        <f t="shared" si="90"/>
        <v>2017</v>
      </c>
      <c r="G980" s="3" t="str">
        <f t="shared" si="91"/>
        <v>Mar</v>
      </c>
      <c r="H980" s="3" t="str">
        <f t="shared" si="92"/>
        <v>Q1</v>
      </c>
      <c r="I980" s="3">
        <f t="shared" si="93"/>
        <v>-1.60681931292549E-2</v>
      </c>
      <c r="J980" s="3">
        <f t="shared" si="94"/>
        <v>7.0433722156029818E-2</v>
      </c>
      <c r="K980" s="3" t="str">
        <f t="shared" si="95"/>
        <v>High Volatility</v>
      </c>
      <c r="L980" s="4">
        <f>VALUE(A980)</f>
        <v>42814</v>
      </c>
    </row>
    <row r="981" spans="1:12">
      <c r="A981" s="5">
        <v>42815</v>
      </c>
      <c r="B981" s="3">
        <v>843.20001200000002</v>
      </c>
      <c r="C981" s="3">
        <v>180.649902</v>
      </c>
      <c r="D981" s="3">
        <v>1121.290039</v>
      </c>
      <c r="E981" s="3">
        <v>142.41999799999999</v>
      </c>
      <c r="F981" s="3">
        <f t="shared" si="90"/>
        <v>2017</v>
      </c>
      <c r="G981" s="3" t="str">
        <f t="shared" si="91"/>
        <v>Mar</v>
      </c>
      <c r="H981" s="3" t="str">
        <f t="shared" si="92"/>
        <v>Q1</v>
      </c>
      <c r="I981" s="3">
        <f t="shared" si="93"/>
        <v>5.7637404303072228E-3</v>
      </c>
      <c r="J981" s="3">
        <f t="shared" si="94"/>
        <v>-6.8287477224258111E-2</v>
      </c>
      <c r="K981" s="3" t="str">
        <f t="shared" si="95"/>
        <v>High Volatility</v>
      </c>
      <c r="L981" s="4">
        <f>VALUE(A981)</f>
        <v>42815</v>
      </c>
    </row>
    <row r="982" spans="1:12">
      <c r="A982" s="5">
        <v>42816</v>
      </c>
      <c r="B982" s="3">
        <v>848.05999799999995</v>
      </c>
      <c r="C982" s="3">
        <v>180.757904</v>
      </c>
      <c r="D982" s="3">
        <v>1044.719971</v>
      </c>
      <c r="E982" s="3">
        <v>142.64999399999999</v>
      </c>
      <c r="F982" s="3">
        <f t="shared" si="90"/>
        <v>2017</v>
      </c>
      <c r="G982" s="3" t="str">
        <f t="shared" si="91"/>
        <v>Mar</v>
      </c>
      <c r="H982" s="3" t="str">
        <f t="shared" si="92"/>
        <v>Q1</v>
      </c>
      <c r="I982" s="3">
        <f t="shared" si="93"/>
        <v>-8.0182180695187997E-4</v>
      </c>
      <c r="J982" s="3">
        <f t="shared" si="94"/>
        <v>-9.2751572373263019E-3</v>
      </c>
      <c r="K982" s="3" t="str">
        <f t="shared" si="95"/>
        <v>Normal</v>
      </c>
      <c r="L982" s="4">
        <f>VALUE(A982)</f>
        <v>42816</v>
      </c>
    </row>
    <row r="983" spans="1:12">
      <c r="A983" s="5">
        <v>42817</v>
      </c>
      <c r="B983" s="3">
        <v>847.38000499999998</v>
      </c>
      <c r="C983" s="3">
        <v>180.97387699999999</v>
      </c>
      <c r="D983" s="3">
        <v>1035.030029</v>
      </c>
      <c r="E983" s="3">
        <v>141.83999600000001</v>
      </c>
      <c r="F983" s="3">
        <f t="shared" si="90"/>
        <v>2017</v>
      </c>
      <c r="G983" s="3" t="str">
        <f t="shared" si="91"/>
        <v>Mar</v>
      </c>
      <c r="H983" s="3" t="str">
        <f t="shared" si="92"/>
        <v>Q1</v>
      </c>
      <c r="I983" s="3">
        <f t="shared" si="93"/>
        <v>-2.088814923122869E-3</v>
      </c>
      <c r="J983" s="3">
        <f t="shared" si="94"/>
        <v>-9.2103624367404699E-2</v>
      </c>
      <c r="K983" s="3" t="str">
        <f t="shared" si="95"/>
        <v>High Volatility</v>
      </c>
      <c r="L983" s="4">
        <f>VALUE(A983)</f>
        <v>42817</v>
      </c>
    </row>
    <row r="984" spans="1:12">
      <c r="A984" s="5">
        <v>42818</v>
      </c>
      <c r="B984" s="3">
        <v>845.60998500000005</v>
      </c>
      <c r="C984" s="3">
        <v>179.59948700000001</v>
      </c>
      <c r="D984" s="3">
        <v>939.70001200000002</v>
      </c>
      <c r="E984" s="3">
        <v>142.020004</v>
      </c>
      <c r="F984" s="3">
        <f t="shared" si="90"/>
        <v>2017</v>
      </c>
      <c r="G984" s="3" t="str">
        <f t="shared" si="91"/>
        <v>Mar</v>
      </c>
      <c r="H984" s="3" t="str">
        <f t="shared" si="92"/>
        <v>Q1</v>
      </c>
      <c r="I984" s="3">
        <f t="shared" si="93"/>
        <v>1.4309457332152727E-3</v>
      </c>
      <c r="J984" s="3">
        <f t="shared" si="94"/>
        <v>0.11143985384986879</v>
      </c>
      <c r="K984" s="3" t="str">
        <f t="shared" si="95"/>
        <v>High Volatility</v>
      </c>
      <c r="L984" s="4">
        <f>VALUE(A984)</f>
        <v>42818</v>
      </c>
    </row>
    <row r="985" spans="1:12">
      <c r="A985" s="5">
        <v>42821</v>
      </c>
      <c r="B985" s="3">
        <v>846.82000700000003</v>
      </c>
      <c r="C985" s="3">
        <v>180.58119199999999</v>
      </c>
      <c r="D985" s="3">
        <v>1044.420044</v>
      </c>
      <c r="E985" s="3">
        <v>144.05999800000001</v>
      </c>
      <c r="F985" s="3">
        <f t="shared" si="90"/>
        <v>2017</v>
      </c>
      <c r="G985" s="3" t="str">
        <f t="shared" si="91"/>
        <v>Mar</v>
      </c>
      <c r="H985" s="3" t="str">
        <f t="shared" si="92"/>
        <v>Q1</v>
      </c>
      <c r="I985" s="3">
        <f t="shared" si="93"/>
        <v>1.0840548078831547E-2</v>
      </c>
      <c r="J985" s="3">
        <f t="shared" si="94"/>
        <v>-2.4128414754934859E-3</v>
      </c>
      <c r="K985" s="3" t="str">
        <f t="shared" si="95"/>
        <v>Normal</v>
      </c>
      <c r="L985" s="4">
        <f>VALUE(A985)</f>
        <v>42821</v>
      </c>
    </row>
    <row r="986" spans="1:12">
      <c r="A986" s="5">
        <v>42822</v>
      </c>
      <c r="B986" s="3">
        <v>856</v>
      </c>
      <c r="C986" s="3">
        <v>181.553055</v>
      </c>
      <c r="D986" s="3">
        <v>1041.900024</v>
      </c>
      <c r="E986" s="3">
        <v>145.16999799999999</v>
      </c>
      <c r="F986" s="3">
        <f t="shared" si="90"/>
        <v>2017</v>
      </c>
      <c r="G986" s="3" t="str">
        <f t="shared" si="91"/>
        <v>Mar</v>
      </c>
      <c r="H986" s="3" t="str">
        <f t="shared" si="92"/>
        <v>Q1</v>
      </c>
      <c r="I986" s="3">
        <f t="shared" si="93"/>
        <v>2.1401877336448636E-2</v>
      </c>
      <c r="J986" s="3">
        <f t="shared" si="94"/>
        <v>-3.8295324964883908E-3</v>
      </c>
      <c r="K986" s="3" t="str">
        <f t="shared" si="95"/>
        <v>Normal</v>
      </c>
      <c r="L986" s="4">
        <f>VALUE(A986)</f>
        <v>42822</v>
      </c>
    </row>
    <row r="987" spans="1:12">
      <c r="A987" s="5">
        <v>42823</v>
      </c>
      <c r="B987" s="3">
        <v>874.32000700000003</v>
      </c>
      <c r="C987" s="3">
        <v>179.42279099999999</v>
      </c>
      <c r="D987" s="3">
        <v>1037.910034</v>
      </c>
      <c r="E987" s="3">
        <v>146.470001</v>
      </c>
      <c r="F987" s="3">
        <f t="shared" si="90"/>
        <v>2017</v>
      </c>
      <c r="G987" s="3" t="str">
        <f t="shared" si="91"/>
        <v>Mar</v>
      </c>
      <c r="H987" s="3" t="str">
        <f t="shared" si="92"/>
        <v>Q1</v>
      </c>
      <c r="I987" s="3">
        <f t="shared" si="93"/>
        <v>2.3103897701381676E-3</v>
      </c>
      <c r="J987" s="3">
        <f t="shared" si="94"/>
        <v>3.9695108102211538E-2</v>
      </c>
      <c r="K987" s="3" t="str">
        <f t="shared" si="95"/>
        <v>Normal</v>
      </c>
      <c r="L987" s="4">
        <f>VALUE(A987)</f>
        <v>42823</v>
      </c>
    </row>
    <row r="988" spans="1:12">
      <c r="A988" s="5">
        <v>42824</v>
      </c>
      <c r="B988" s="3">
        <v>876.34002699999996</v>
      </c>
      <c r="C988" s="3">
        <v>180.73826600000001</v>
      </c>
      <c r="D988" s="3">
        <v>1079.1099850000001</v>
      </c>
      <c r="E988" s="3">
        <v>148.05999800000001</v>
      </c>
      <c r="F988" s="3">
        <f t="shared" si="90"/>
        <v>2017</v>
      </c>
      <c r="G988" s="3" t="str">
        <f t="shared" si="91"/>
        <v>Mar</v>
      </c>
      <c r="H988" s="3" t="str">
        <f t="shared" si="92"/>
        <v>Q1</v>
      </c>
      <c r="I988" s="3">
        <f t="shared" si="93"/>
        <v>1.1639261799917826E-2</v>
      </c>
      <c r="J988" s="3">
        <f t="shared" si="94"/>
        <v>6.4961033605855896E-3</v>
      </c>
      <c r="K988" s="3" t="str">
        <f t="shared" si="95"/>
        <v>Normal</v>
      </c>
      <c r="L988" s="4">
        <f>VALUE(A988)</f>
        <v>42824</v>
      </c>
    </row>
    <row r="989" spans="1:12">
      <c r="A989" s="5">
        <v>42825</v>
      </c>
      <c r="B989" s="3">
        <v>886.53997800000002</v>
      </c>
      <c r="C989" s="3">
        <v>180.924789</v>
      </c>
      <c r="D989" s="3">
        <v>1086.119995</v>
      </c>
      <c r="E989" s="3">
        <v>147.80999800000001</v>
      </c>
      <c r="F989" s="3">
        <f t="shared" si="90"/>
        <v>2017</v>
      </c>
      <c r="G989" s="3" t="str">
        <f t="shared" si="91"/>
        <v>Mar</v>
      </c>
      <c r="H989" s="3" t="str">
        <f t="shared" si="92"/>
        <v>Q1</v>
      </c>
      <c r="I989" s="3">
        <f t="shared" si="93"/>
        <v>5.606100258684495E-3</v>
      </c>
      <c r="J989" s="3">
        <f t="shared" si="94"/>
        <v>5.1237455581507746E-2</v>
      </c>
      <c r="K989" s="3" t="str">
        <f t="shared" si="95"/>
        <v>High Volatility</v>
      </c>
      <c r="L989" s="4">
        <f>VALUE(A989)</f>
        <v>42825</v>
      </c>
    </row>
    <row r="990" spans="1:12">
      <c r="A990" s="5">
        <v>42828</v>
      </c>
      <c r="B990" s="3">
        <v>891.51000999999997</v>
      </c>
      <c r="C990" s="3">
        <v>182.81942699999999</v>
      </c>
      <c r="D990" s="3">
        <v>1141.7700199999999</v>
      </c>
      <c r="E990" s="3">
        <v>146.91999799999999</v>
      </c>
      <c r="F990" s="3">
        <f t="shared" si="90"/>
        <v>2017</v>
      </c>
      <c r="G990" s="3" t="str">
        <f t="shared" si="91"/>
        <v>Apr</v>
      </c>
      <c r="H990" s="3" t="str">
        <f t="shared" si="92"/>
        <v>Q2</v>
      </c>
      <c r="I990" s="3">
        <f t="shared" si="93"/>
        <v>1.7184335372745881E-2</v>
      </c>
      <c r="J990" s="3">
        <f t="shared" si="94"/>
        <v>-1.042243603488548E-2</v>
      </c>
      <c r="K990" s="3" t="str">
        <f t="shared" si="95"/>
        <v>Normal</v>
      </c>
      <c r="L990" s="4">
        <f>VALUE(A990)</f>
        <v>42828</v>
      </c>
    </row>
    <row r="991" spans="1:12">
      <c r="A991" s="5">
        <v>42829</v>
      </c>
      <c r="B991" s="3">
        <v>906.830017</v>
      </c>
      <c r="C991" s="3">
        <v>182.947067</v>
      </c>
      <c r="D991" s="3">
        <v>1129.869995</v>
      </c>
      <c r="E991" s="3">
        <v>145.5</v>
      </c>
      <c r="F991" s="3">
        <f t="shared" si="90"/>
        <v>2017</v>
      </c>
      <c r="G991" s="3" t="str">
        <f t="shared" si="91"/>
        <v>Apr</v>
      </c>
      <c r="H991" s="3" t="str">
        <f t="shared" si="92"/>
        <v>Q2</v>
      </c>
      <c r="I991" s="3">
        <f t="shared" si="93"/>
        <v>2.7017323578515987E-3</v>
      </c>
      <c r="J991" s="3">
        <f t="shared" si="94"/>
        <v>5.2067898307185369E-2</v>
      </c>
      <c r="K991" s="3" t="str">
        <f t="shared" si="95"/>
        <v>High Volatility</v>
      </c>
      <c r="L991" s="4">
        <f>VALUE(A991)</f>
        <v>42829</v>
      </c>
    </row>
    <row r="992" spans="1:12">
      <c r="A992" s="5">
        <v>42830</v>
      </c>
      <c r="B992" s="3">
        <v>909.28002900000001</v>
      </c>
      <c r="C992" s="3">
        <v>181.74941999999999</v>
      </c>
      <c r="D992" s="3">
        <v>1188.6999510000001</v>
      </c>
      <c r="E992" s="3">
        <v>143.61999499999999</v>
      </c>
      <c r="F992" s="3">
        <f t="shared" si="90"/>
        <v>2017</v>
      </c>
      <c r="G992" s="3" t="str">
        <f t="shared" si="91"/>
        <v>Apr</v>
      </c>
      <c r="H992" s="3" t="str">
        <f t="shared" si="92"/>
        <v>Q2</v>
      </c>
      <c r="I992" s="3">
        <f t="shared" si="93"/>
        <v>-1.2097483337556069E-2</v>
      </c>
      <c r="J992" s="3">
        <f t="shared" si="94"/>
        <v>1.5058795943367366E-3</v>
      </c>
      <c r="K992" s="3" t="str">
        <f t="shared" si="95"/>
        <v>Normal</v>
      </c>
      <c r="L992" s="4">
        <f>VALUE(A992)</f>
        <v>42830</v>
      </c>
    </row>
    <row r="993" spans="1:12">
      <c r="A993" s="5">
        <v>42831</v>
      </c>
      <c r="B993" s="3">
        <v>898.28002900000001</v>
      </c>
      <c r="C993" s="3">
        <v>182.593628</v>
      </c>
      <c r="D993" s="3">
        <v>1190.48999</v>
      </c>
      <c r="E993" s="3">
        <v>143.740005</v>
      </c>
      <c r="F993" s="3">
        <f t="shared" si="90"/>
        <v>2017</v>
      </c>
      <c r="G993" s="3" t="str">
        <f t="shared" si="91"/>
        <v>Apr</v>
      </c>
      <c r="H993" s="3" t="str">
        <f t="shared" si="92"/>
        <v>Q2</v>
      </c>
      <c r="I993" s="3">
        <f t="shared" si="93"/>
        <v>-3.7850379505654469E-3</v>
      </c>
      <c r="J993" s="3">
        <f t="shared" si="94"/>
        <v>-8.1562726957494381E-3</v>
      </c>
      <c r="K993" s="3" t="str">
        <f t="shared" si="95"/>
        <v>Normal</v>
      </c>
      <c r="L993" s="4">
        <f>VALUE(A993)</f>
        <v>42831</v>
      </c>
    </row>
    <row r="994" spans="1:12">
      <c r="A994" s="5">
        <v>42832</v>
      </c>
      <c r="B994" s="3">
        <v>894.88000499999998</v>
      </c>
      <c r="C994" s="3">
        <v>171.952179</v>
      </c>
      <c r="D994" s="3">
        <v>1180.780029</v>
      </c>
      <c r="E994" s="3">
        <v>143.11000100000001</v>
      </c>
      <c r="F994" s="3">
        <f t="shared" si="90"/>
        <v>2017</v>
      </c>
      <c r="G994" s="3" t="str">
        <f t="shared" si="91"/>
        <v>Apr</v>
      </c>
      <c r="H994" s="3" t="str">
        <f t="shared" si="92"/>
        <v>Q2</v>
      </c>
      <c r="I994" s="3">
        <f t="shared" si="93"/>
        <v>1.3588383841473848E-2</v>
      </c>
      <c r="J994" s="3">
        <f t="shared" si="94"/>
        <v>3.3842002759685921E-2</v>
      </c>
      <c r="K994" s="3" t="str">
        <f t="shared" si="95"/>
        <v>Normal</v>
      </c>
      <c r="L994" s="4">
        <f>VALUE(A994)</f>
        <v>42832</v>
      </c>
    </row>
    <row r="995" spans="1:12">
      <c r="A995" s="5">
        <v>42835</v>
      </c>
      <c r="B995" s="3">
        <v>907.03997800000002</v>
      </c>
      <c r="C995" s="3">
        <v>170.56797800000001</v>
      </c>
      <c r="D995" s="3">
        <v>1220.73999</v>
      </c>
      <c r="E995" s="3">
        <v>143.85000600000001</v>
      </c>
      <c r="F995" s="3">
        <f t="shared" si="90"/>
        <v>2017</v>
      </c>
      <c r="G995" s="3" t="str">
        <f t="shared" si="91"/>
        <v>Apr</v>
      </c>
      <c r="H995" s="3" t="str">
        <f t="shared" si="92"/>
        <v>Q2</v>
      </c>
      <c r="I995" s="3">
        <f t="shared" si="93"/>
        <v>-5.1596325559092032E-3</v>
      </c>
      <c r="J995" s="3">
        <f t="shared" si="94"/>
        <v>-6.725396945503539E-3</v>
      </c>
      <c r="K995" s="3" t="str">
        <f t="shared" si="95"/>
        <v>Normal</v>
      </c>
      <c r="L995" s="4">
        <f>VALUE(A995)</f>
        <v>42835</v>
      </c>
    </row>
    <row r="996" spans="1:12">
      <c r="A996" s="5">
        <v>42836</v>
      </c>
      <c r="B996" s="3">
        <v>902.35998500000005</v>
      </c>
      <c r="C996" s="3">
        <v>172.295761</v>
      </c>
      <c r="D996" s="3">
        <v>1212.530029</v>
      </c>
      <c r="E996" s="3">
        <v>144.35000600000001</v>
      </c>
      <c r="F996" s="3">
        <f t="shared" si="90"/>
        <v>2017</v>
      </c>
      <c r="G996" s="3" t="str">
        <f t="shared" si="91"/>
        <v>Apr</v>
      </c>
      <c r="H996" s="3" t="str">
        <f t="shared" si="92"/>
        <v>Q2</v>
      </c>
      <c r="I996" s="3">
        <f t="shared" si="93"/>
        <v>-6.7933032291985955E-3</v>
      </c>
      <c r="J996" s="3">
        <f t="shared" si="94"/>
        <v>-2.9962208878209939E-2</v>
      </c>
      <c r="K996" s="3" t="str">
        <f t="shared" si="95"/>
        <v>Normal</v>
      </c>
      <c r="L996" s="4">
        <f>VALUE(A996)</f>
        <v>42836</v>
      </c>
    </row>
    <row r="997" spans="1:12">
      <c r="A997" s="5">
        <v>42837</v>
      </c>
      <c r="B997" s="3">
        <v>896.22997999999995</v>
      </c>
      <c r="C997" s="3">
        <v>171.922729</v>
      </c>
      <c r="D997" s="3">
        <v>1176.1999510000001</v>
      </c>
      <c r="E997" s="3">
        <v>143.83000200000001</v>
      </c>
      <c r="F997" s="3">
        <f t="shared" si="90"/>
        <v>2017</v>
      </c>
      <c r="G997" s="3" t="str">
        <f t="shared" si="91"/>
        <v>Apr</v>
      </c>
      <c r="H997" s="3" t="str">
        <f t="shared" si="92"/>
        <v>Q2</v>
      </c>
      <c r="I997" s="3">
        <f t="shared" si="93"/>
        <v>-1.289847166237393E-2</v>
      </c>
      <c r="J997" s="3">
        <f t="shared" si="94"/>
        <v>9.6072525682326161E-4</v>
      </c>
      <c r="K997" s="3" t="str">
        <f t="shared" si="95"/>
        <v>Normal</v>
      </c>
      <c r="L997" s="4">
        <f>VALUE(A997)</f>
        <v>42837</v>
      </c>
    </row>
    <row r="998" spans="1:12">
      <c r="A998" s="5">
        <v>42838</v>
      </c>
      <c r="B998" s="3">
        <v>884.669983</v>
      </c>
      <c r="C998" s="3">
        <v>170.85266100000001</v>
      </c>
      <c r="D998" s="3">
        <v>1177.329956</v>
      </c>
      <c r="E998" s="3">
        <v>142.91999799999999</v>
      </c>
      <c r="F998" s="3">
        <f t="shared" si="90"/>
        <v>2017</v>
      </c>
      <c r="G998" s="3" t="str">
        <f t="shared" si="91"/>
        <v>Apr</v>
      </c>
      <c r="H998" s="3" t="str">
        <f t="shared" si="92"/>
        <v>Q2</v>
      </c>
      <c r="I998" s="3">
        <f t="shared" si="93"/>
        <v>1.9577929999688971E-2</v>
      </c>
      <c r="J998" s="3">
        <f t="shared" si="94"/>
        <v>2.4428164639344288E-2</v>
      </c>
      <c r="K998" s="3" t="str">
        <f t="shared" si="95"/>
        <v>Normal</v>
      </c>
      <c r="L998" s="4">
        <f>VALUE(A998)</f>
        <v>42838</v>
      </c>
    </row>
    <row r="999" spans="1:12">
      <c r="A999" s="5">
        <v>42842</v>
      </c>
      <c r="B999" s="3">
        <v>901.98999000000003</v>
      </c>
      <c r="C999" s="3">
        <v>171.83436599999999</v>
      </c>
      <c r="D999" s="3">
        <v>1206.089966</v>
      </c>
      <c r="E999" s="3">
        <v>147.25</v>
      </c>
      <c r="F999" s="3">
        <f t="shared" si="90"/>
        <v>2017</v>
      </c>
      <c r="G999" s="3" t="str">
        <f t="shared" si="91"/>
        <v>Apr</v>
      </c>
      <c r="H999" s="3" t="str">
        <f t="shared" si="92"/>
        <v>Q2</v>
      </c>
      <c r="I999" s="3">
        <f t="shared" si="93"/>
        <v>1.9845441965492087E-3</v>
      </c>
      <c r="J999" s="3">
        <f t="shared" si="94"/>
        <v>7.5533212752058095E-3</v>
      </c>
      <c r="K999" s="3" t="str">
        <f t="shared" si="95"/>
        <v>Normal</v>
      </c>
      <c r="L999" s="4">
        <f>VALUE(A999)</f>
        <v>42842</v>
      </c>
    </row>
    <row r="1000" spans="1:12">
      <c r="A1000" s="5">
        <v>42843</v>
      </c>
      <c r="B1000" s="3">
        <v>903.78002900000001</v>
      </c>
      <c r="C1000" s="3">
        <v>173.39524800000001</v>
      </c>
      <c r="D1000" s="3">
        <v>1215.1999510000001</v>
      </c>
      <c r="E1000" s="3">
        <v>143.36000100000001</v>
      </c>
      <c r="F1000" s="3">
        <f t="shared" si="90"/>
        <v>2017</v>
      </c>
      <c r="G1000" s="3" t="str">
        <f t="shared" si="91"/>
        <v>Apr</v>
      </c>
      <c r="H1000" s="3" t="str">
        <f t="shared" si="92"/>
        <v>Q2</v>
      </c>
      <c r="I1000" s="3">
        <f t="shared" si="93"/>
        <v>-5.0676235953870559E-3</v>
      </c>
      <c r="J1000" s="3">
        <f t="shared" si="94"/>
        <v>1.8836418633134018E-2</v>
      </c>
      <c r="K1000" s="3" t="str">
        <f t="shared" si="95"/>
        <v>Normal</v>
      </c>
      <c r="L1000" s="4">
        <f>VALUE(A1000)</f>
        <v>42843</v>
      </c>
    </row>
    <row r="1001" spans="1:12">
      <c r="A1001" s="5">
        <v>42844</v>
      </c>
      <c r="B1001" s="3">
        <v>899.20001200000002</v>
      </c>
      <c r="C1001" s="3">
        <v>172.492096</v>
      </c>
      <c r="D1001" s="3">
        <v>1238.089966</v>
      </c>
      <c r="E1001" s="3">
        <v>139.759995</v>
      </c>
      <c r="F1001" s="3">
        <f t="shared" si="90"/>
        <v>2017</v>
      </c>
      <c r="G1001" s="3" t="str">
        <f t="shared" si="91"/>
        <v>Apr</v>
      </c>
      <c r="H1001" s="3" t="str">
        <f t="shared" si="92"/>
        <v>Q2</v>
      </c>
      <c r="I1001" s="3">
        <f t="shared" si="93"/>
        <v>3.1805893703657283E-3</v>
      </c>
      <c r="J1001" s="3">
        <f t="shared" si="94"/>
        <v>9.3289254554866051E-3</v>
      </c>
      <c r="K1001" s="3" t="str">
        <f t="shared" si="95"/>
        <v>Normal</v>
      </c>
      <c r="L1001" s="4">
        <f>VALUE(A1001)</f>
        <v>42844</v>
      </c>
    </row>
    <row r="1002" spans="1:12">
      <c r="A1002" s="5">
        <v>42845</v>
      </c>
      <c r="B1002" s="3">
        <v>902.05999799999995</v>
      </c>
      <c r="C1002" s="3">
        <v>173.67012</v>
      </c>
      <c r="D1002" s="3">
        <v>1249.6400149999999</v>
      </c>
      <c r="E1002" s="3">
        <v>141.179993</v>
      </c>
      <c r="F1002" s="3">
        <f t="shared" si="90"/>
        <v>2017</v>
      </c>
      <c r="G1002" s="3" t="str">
        <f t="shared" si="91"/>
        <v>Apr</v>
      </c>
      <c r="H1002" s="3" t="str">
        <f t="shared" si="92"/>
        <v>Q2</v>
      </c>
      <c r="I1002" s="3">
        <f t="shared" si="93"/>
        <v>-3.9132308358938422E-3</v>
      </c>
      <c r="J1002" s="3">
        <f t="shared" si="94"/>
        <v>-7.00201649672686E-3</v>
      </c>
      <c r="K1002" s="3" t="str">
        <f t="shared" si="95"/>
        <v>Normal</v>
      </c>
      <c r="L1002" s="4">
        <f>VALUE(A1002)</f>
        <v>42845</v>
      </c>
    </row>
    <row r="1003" spans="1:12">
      <c r="A1003" s="5">
        <v>42846</v>
      </c>
      <c r="B1003" s="3">
        <v>898.53002900000001</v>
      </c>
      <c r="C1003" s="3">
        <v>176.01634200000001</v>
      </c>
      <c r="D1003" s="3">
        <v>1240.8900149999999</v>
      </c>
      <c r="E1003" s="3">
        <v>142.86999499999999</v>
      </c>
      <c r="F1003" s="3">
        <f t="shared" si="90"/>
        <v>2017</v>
      </c>
      <c r="G1003" s="3" t="str">
        <f t="shared" si="91"/>
        <v>Apr</v>
      </c>
      <c r="H1003" s="3" t="str">
        <f t="shared" si="92"/>
        <v>Q2</v>
      </c>
      <c r="I1003" s="3">
        <f t="shared" si="93"/>
        <v>9.8827459443762491E-3</v>
      </c>
      <c r="J1003" s="3">
        <f t="shared" si="94"/>
        <v>1.8873585665849655E-2</v>
      </c>
      <c r="K1003" s="3" t="str">
        <f t="shared" si="95"/>
        <v>Normal</v>
      </c>
      <c r="L1003" s="4">
        <f>VALUE(A1003)</f>
        <v>42846</v>
      </c>
    </row>
    <row r="1004" spans="1:12">
      <c r="A1004" s="5">
        <v>42849</v>
      </c>
      <c r="B1004" s="3">
        <v>907.40997300000004</v>
      </c>
      <c r="C1004" s="3">
        <v>177.28274500000001</v>
      </c>
      <c r="D1004" s="3">
        <v>1264.3100589999999</v>
      </c>
      <c r="E1004" s="3">
        <v>143.83000200000001</v>
      </c>
      <c r="F1004" s="3">
        <f t="shared" si="90"/>
        <v>2017</v>
      </c>
      <c r="G1004" s="3" t="str">
        <f t="shared" si="91"/>
        <v>Apr</v>
      </c>
      <c r="H1004" s="3" t="str">
        <f t="shared" si="92"/>
        <v>Q2</v>
      </c>
      <c r="I1004" s="3">
        <f t="shared" si="93"/>
        <v>2.3145216192150097E-4</v>
      </c>
      <c r="J1004" s="3">
        <f t="shared" si="94"/>
        <v>1.7653854638832765E-2</v>
      </c>
      <c r="K1004" s="3" t="str">
        <f t="shared" si="95"/>
        <v>Normal</v>
      </c>
      <c r="L1004" s="4">
        <f>VALUE(A1004)</f>
        <v>42849</v>
      </c>
    </row>
    <row r="1005" spans="1:12">
      <c r="A1005" s="5">
        <v>42850</v>
      </c>
      <c r="B1005" s="3">
        <v>907.61999500000002</v>
      </c>
      <c r="C1005" s="3">
        <v>177.28274500000001</v>
      </c>
      <c r="D1005" s="3">
        <v>1286.630005</v>
      </c>
      <c r="E1005" s="3">
        <v>152.16000399999999</v>
      </c>
      <c r="F1005" s="3">
        <f t="shared" si="90"/>
        <v>2017</v>
      </c>
      <c r="G1005" s="3" t="str">
        <f t="shared" si="91"/>
        <v>Apr</v>
      </c>
      <c r="H1005" s="3" t="str">
        <f t="shared" si="92"/>
        <v>Q2</v>
      </c>
      <c r="I1005" s="3">
        <f t="shared" si="93"/>
        <v>1.8399583627507039E-3</v>
      </c>
      <c r="J1005" s="3">
        <f t="shared" si="94"/>
        <v>3.5969959366834454E-2</v>
      </c>
      <c r="K1005" s="3" t="str">
        <f t="shared" si="95"/>
        <v>Normal</v>
      </c>
      <c r="L1005" s="4">
        <f>VALUE(A1005)</f>
        <v>42850</v>
      </c>
    </row>
    <row r="1006" spans="1:12">
      <c r="A1006" s="5">
        <v>42851</v>
      </c>
      <c r="B1006" s="3">
        <v>909.28997800000002</v>
      </c>
      <c r="C1006" s="3">
        <v>177.64596599999999</v>
      </c>
      <c r="D1006" s="3">
        <v>1332.910034</v>
      </c>
      <c r="E1006" s="3">
        <v>150.16999799999999</v>
      </c>
      <c r="F1006" s="3">
        <f t="shared" si="90"/>
        <v>2017</v>
      </c>
      <c r="G1006" s="3" t="str">
        <f t="shared" si="91"/>
        <v>Apr</v>
      </c>
      <c r="H1006" s="3" t="str">
        <f t="shared" si="92"/>
        <v>Q2</v>
      </c>
      <c r="I1006" s="3">
        <f t="shared" si="93"/>
        <v>9.9968406338246957E-3</v>
      </c>
      <c r="J1006" s="3">
        <f t="shared" si="94"/>
        <v>-2.4683128763962614E-3</v>
      </c>
      <c r="K1006" s="3" t="str">
        <f t="shared" si="95"/>
        <v>Normal</v>
      </c>
      <c r="L1006" s="4">
        <f>VALUE(A1006)</f>
        <v>42851</v>
      </c>
    </row>
    <row r="1007" spans="1:12">
      <c r="A1007" s="5">
        <v>42852</v>
      </c>
      <c r="B1007" s="3">
        <v>918.38000499999998</v>
      </c>
      <c r="C1007" s="3">
        <v>182.15190100000001</v>
      </c>
      <c r="D1007" s="3">
        <v>1329.619995</v>
      </c>
      <c r="E1007" s="3">
        <v>153.08000200000001</v>
      </c>
      <c r="F1007" s="3">
        <f t="shared" si="90"/>
        <v>2017</v>
      </c>
      <c r="G1007" s="3" t="str">
        <f t="shared" si="91"/>
        <v>Apr</v>
      </c>
      <c r="H1007" s="3" t="str">
        <f t="shared" si="92"/>
        <v>Q2</v>
      </c>
      <c r="I1007" s="3">
        <f t="shared" si="93"/>
        <v>7.1974400183070749E-3</v>
      </c>
      <c r="J1007" s="3">
        <f t="shared" si="94"/>
        <v>5.0089755155945858E-3</v>
      </c>
      <c r="K1007" s="3" t="str">
        <f t="shared" si="95"/>
        <v>Normal</v>
      </c>
      <c r="L1007" s="4">
        <f>VALUE(A1007)</f>
        <v>42852</v>
      </c>
    </row>
    <row r="1008" spans="1:12">
      <c r="A1008" s="5">
        <v>42853</v>
      </c>
      <c r="B1008" s="3">
        <v>924.98999000000003</v>
      </c>
      <c r="C1008" s="3">
        <v>178.06806900000001</v>
      </c>
      <c r="D1008" s="3">
        <v>1336.280029</v>
      </c>
      <c r="E1008" s="3">
        <v>152.199997</v>
      </c>
      <c r="F1008" s="3">
        <f t="shared" si="90"/>
        <v>2017</v>
      </c>
      <c r="G1008" s="3" t="str">
        <f t="shared" si="91"/>
        <v>Apr</v>
      </c>
      <c r="H1008" s="3" t="str">
        <f t="shared" si="92"/>
        <v>Q2</v>
      </c>
      <c r="I1008" s="3">
        <f t="shared" si="93"/>
        <v>2.5124585402270052E-2</v>
      </c>
      <c r="J1008" s="3">
        <f t="shared" si="94"/>
        <v>8.2056172823338602E-2</v>
      </c>
      <c r="K1008" s="3" t="str">
        <f t="shared" si="95"/>
        <v>High Volatility</v>
      </c>
      <c r="L1008" s="4">
        <f>VALUE(A1008)</f>
        <v>42853</v>
      </c>
    </row>
    <row r="1009" spans="1:12">
      <c r="A1009" s="5">
        <v>42856</v>
      </c>
      <c r="B1009" s="3">
        <v>948.22997999999995</v>
      </c>
      <c r="C1009" s="3">
        <v>178.823959</v>
      </c>
      <c r="D1009" s="3">
        <v>1445.9300539999999</v>
      </c>
      <c r="E1009" s="3">
        <v>155.35000600000001</v>
      </c>
      <c r="F1009" s="3">
        <f t="shared" si="90"/>
        <v>2017</v>
      </c>
      <c r="G1009" s="3" t="str">
        <f t="shared" si="91"/>
        <v>May</v>
      </c>
      <c r="H1009" s="3" t="str">
        <f t="shared" si="92"/>
        <v>Q2</v>
      </c>
      <c r="I1009" s="3">
        <f t="shared" si="93"/>
        <v>-1.3604062592493707E-3</v>
      </c>
      <c r="J1009" s="3">
        <f t="shared" si="94"/>
        <v>2.7401045362046274E-2</v>
      </c>
      <c r="K1009" s="3" t="str">
        <f t="shared" si="95"/>
        <v>Normal</v>
      </c>
      <c r="L1009" s="4">
        <f>VALUE(A1009)</f>
        <v>42856</v>
      </c>
    </row>
    <row r="1010" spans="1:12">
      <c r="A1010" s="5">
        <v>42857</v>
      </c>
      <c r="B1010" s="3">
        <v>946.94000200000005</v>
      </c>
      <c r="C1010" s="3">
        <v>181.03277600000001</v>
      </c>
      <c r="D1010" s="3">
        <v>1485.5500489999999</v>
      </c>
      <c r="E1010" s="3">
        <v>156.449997</v>
      </c>
      <c r="F1010" s="3">
        <f t="shared" si="90"/>
        <v>2017</v>
      </c>
      <c r="G1010" s="3" t="str">
        <f t="shared" si="91"/>
        <v>May</v>
      </c>
      <c r="H1010" s="3" t="str">
        <f t="shared" si="92"/>
        <v>Q2</v>
      </c>
      <c r="I1010" s="3">
        <f t="shared" si="93"/>
        <v>-6.2411271965676614E-3</v>
      </c>
      <c r="J1010" s="3">
        <f t="shared" si="94"/>
        <v>2.1009026939892768E-2</v>
      </c>
      <c r="K1010" s="3" t="str">
        <f t="shared" si="95"/>
        <v>Normal</v>
      </c>
      <c r="L1010" s="4">
        <f>VALUE(A1010)</f>
        <v>42857</v>
      </c>
    </row>
    <row r="1011" spans="1:12">
      <c r="A1011" s="5">
        <v>42858</v>
      </c>
      <c r="B1011" s="3">
        <v>941.03002900000001</v>
      </c>
      <c r="C1011" s="3">
        <v>183.644058</v>
      </c>
      <c r="D1011" s="3">
        <v>1516.76001</v>
      </c>
      <c r="E1011" s="3">
        <v>155.58999600000001</v>
      </c>
      <c r="F1011" s="3">
        <f t="shared" si="90"/>
        <v>2017</v>
      </c>
      <c r="G1011" s="3" t="str">
        <f t="shared" si="91"/>
        <v>May</v>
      </c>
      <c r="H1011" s="3" t="str">
        <f t="shared" si="92"/>
        <v>Q2</v>
      </c>
      <c r="I1011" s="3">
        <f t="shared" si="93"/>
        <v>-3.7193287059280444E-3</v>
      </c>
      <c r="J1011" s="3">
        <f t="shared" si="94"/>
        <v>-5.927101150299997E-3</v>
      </c>
      <c r="K1011" s="3" t="str">
        <f t="shared" si="95"/>
        <v>Normal</v>
      </c>
      <c r="L1011" s="4">
        <f>VALUE(A1011)</f>
        <v>42858</v>
      </c>
    </row>
    <row r="1012" spans="1:12">
      <c r="A1012" s="5">
        <v>42859</v>
      </c>
      <c r="B1012" s="3">
        <v>937.53002900000001</v>
      </c>
      <c r="C1012" s="3">
        <v>186.90325899999999</v>
      </c>
      <c r="D1012" s="3">
        <v>1507.7700199999999</v>
      </c>
      <c r="E1012" s="3">
        <v>157.25</v>
      </c>
      <c r="F1012" s="3">
        <f t="shared" si="90"/>
        <v>2017</v>
      </c>
      <c r="G1012" s="3" t="str">
        <f t="shared" si="91"/>
        <v>May</v>
      </c>
      <c r="H1012" s="3" t="str">
        <f t="shared" si="92"/>
        <v>Q2</v>
      </c>
      <c r="I1012" s="3">
        <f t="shared" si="93"/>
        <v>-3.6052231880030618E-3</v>
      </c>
      <c r="J1012" s="3">
        <f t="shared" si="94"/>
        <v>2.488444424700794E-2</v>
      </c>
      <c r="K1012" s="3" t="str">
        <f t="shared" si="95"/>
        <v>Normal</v>
      </c>
      <c r="L1012" s="4">
        <f>VALUE(A1012)</f>
        <v>42859</v>
      </c>
    </row>
    <row r="1013" spans="1:12">
      <c r="A1013" s="5">
        <v>42860</v>
      </c>
      <c r="B1013" s="3">
        <v>934.15002400000003</v>
      </c>
      <c r="C1013" s="3">
        <v>189.583282</v>
      </c>
      <c r="D1013" s="3">
        <v>1545.290039</v>
      </c>
      <c r="E1013" s="3">
        <v>156.60000600000001</v>
      </c>
      <c r="F1013" s="3">
        <f t="shared" si="90"/>
        <v>2017</v>
      </c>
      <c r="G1013" s="3" t="str">
        <f t="shared" si="91"/>
        <v>May</v>
      </c>
      <c r="H1013" s="3" t="str">
        <f t="shared" si="92"/>
        <v>Q2</v>
      </c>
      <c r="I1013" s="3">
        <f t="shared" si="93"/>
        <v>1.5939574605202803E-2</v>
      </c>
      <c r="J1013" s="3">
        <f t="shared" si="94"/>
        <v>9.8499283085070111E-2</v>
      </c>
      <c r="K1013" s="3" t="str">
        <f t="shared" si="95"/>
        <v>High Volatility</v>
      </c>
      <c r="L1013" s="4">
        <f>VALUE(A1013)</f>
        <v>42860</v>
      </c>
    </row>
    <row r="1014" spans="1:12">
      <c r="A1014" s="5">
        <v>42863</v>
      </c>
      <c r="B1014" s="3">
        <v>949.03997800000002</v>
      </c>
      <c r="C1014" s="3">
        <v>188.76844800000001</v>
      </c>
      <c r="D1014" s="3">
        <v>1697.5</v>
      </c>
      <c r="E1014" s="3">
        <v>156.38000500000001</v>
      </c>
      <c r="F1014" s="3">
        <f t="shared" si="90"/>
        <v>2017</v>
      </c>
      <c r="G1014" s="3" t="str">
        <f t="shared" si="91"/>
        <v>May</v>
      </c>
      <c r="H1014" s="3" t="str">
        <f t="shared" si="92"/>
        <v>Q2</v>
      </c>
      <c r="I1014" s="3">
        <f t="shared" si="93"/>
        <v>3.9830029162375427E-3</v>
      </c>
      <c r="J1014" s="3">
        <f t="shared" si="94"/>
        <v>3.228869455080996E-2</v>
      </c>
      <c r="K1014" s="3" t="str">
        <f t="shared" si="95"/>
        <v>Normal</v>
      </c>
      <c r="L1014" s="4">
        <f>VALUE(A1014)</f>
        <v>42863</v>
      </c>
    </row>
    <row r="1015" spans="1:12">
      <c r="A1015" s="5">
        <v>42864</v>
      </c>
      <c r="B1015" s="3">
        <v>952.82000700000003</v>
      </c>
      <c r="C1015" s="3">
        <v>191.78225699999999</v>
      </c>
      <c r="D1015" s="3">
        <v>1752.3100589999999</v>
      </c>
      <c r="E1015" s="3">
        <v>157.46000699999999</v>
      </c>
      <c r="F1015" s="3">
        <f t="shared" si="90"/>
        <v>2017</v>
      </c>
      <c r="G1015" s="3" t="str">
        <f t="shared" si="91"/>
        <v>May</v>
      </c>
      <c r="H1015" s="3" t="str">
        <f t="shared" si="92"/>
        <v>Q2</v>
      </c>
      <c r="I1015" s="3">
        <f t="shared" si="93"/>
        <v>-4.0616223122611414E-3</v>
      </c>
      <c r="J1015" s="3">
        <f t="shared" si="94"/>
        <v>3.822381755784926E-2</v>
      </c>
      <c r="K1015" s="3" t="str">
        <f t="shared" si="95"/>
        <v>Normal</v>
      </c>
      <c r="L1015" s="4">
        <f>VALUE(A1015)</f>
        <v>42864</v>
      </c>
    </row>
    <row r="1016" spans="1:12">
      <c r="A1016" s="5">
        <v>42865</v>
      </c>
      <c r="B1016" s="3">
        <v>948.95001200000002</v>
      </c>
      <c r="C1016" s="3">
        <v>192.08656300000001</v>
      </c>
      <c r="D1016" s="3">
        <v>1819.290039</v>
      </c>
      <c r="E1016" s="3">
        <v>160.279999</v>
      </c>
      <c r="F1016" s="3">
        <f t="shared" si="90"/>
        <v>2017</v>
      </c>
      <c r="G1016" s="3" t="str">
        <f t="shared" si="91"/>
        <v>May</v>
      </c>
      <c r="H1016" s="3" t="str">
        <f t="shared" si="92"/>
        <v>Q2</v>
      </c>
      <c r="I1016" s="3">
        <f t="shared" si="93"/>
        <v>-1.4015669773762519E-3</v>
      </c>
      <c r="J1016" s="3">
        <f t="shared" si="94"/>
        <v>-7.3050487361020516E-2</v>
      </c>
      <c r="K1016" s="3" t="str">
        <f t="shared" si="95"/>
        <v>High Volatility</v>
      </c>
      <c r="L1016" s="4">
        <f>VALUE(A1016)</f>
        <v>42865</v>
      </c>
    </row>
    <row r="1017" spans="1:12">
      <c r="A1017" s="5">
        <v>42866</v>
      </c>
      <c r="B1017" s="3">
        <v>947.61999500000002</v>
      </c>
      <c r="C1017" s="3">
        <v>191.80186499999999</v>
      </c>
      <c r="D1017" s="3">
        <v>1686.3900149999999</v>
      </c>
      <c r="E1017" s="3">
        <v>158.53999300000001</v>
      </c>
      <c r="F1017" s="3">
        <f t="shared" si="90"/>
        <v>2017</v>
      </c>
      <c r="G1017" s="3" t="str">
        <f t="shared" si="91"/>
        <v>May</v>
      </c>
      <c r="H1017" s="3" t="str">
        <f t="shared" si="92"/>
        <v>Q2</v>
      </c>
      <c r="I1017" s="3">
        <f t="shared" si="93"/>
        <v>1.4488910188097025E-2</v>
      </c>
      <c r="J1017" s="3">
        <f t="shared" si="94"/>
        <v>4.5867192234294682E-2</v>
      </c>
      <c r="K1017" s="3" t="str">
        <f t="shared" si="95"/>
        <v>Normal</v>
      </c>
      <c r="L1017" s="4">
        <f>VALUE(A1017)</f>
        <v>42866</v>
      </c>
    </row>
    <row r="1018" spans="1:12">
      <c r="A1018" s="5">
        <v>42867</v>
      </c>
      <c r="B1018" s="3">
        <v>961.34997599999997</v>
      </c>
      <c r="C1018" s="3">
        <v>191.70370500000001</v>
      </c>
      <c r="D1018" s="3">
        <v>1763.73999</v>
      </c>
      <c r="E1018" s="3">
        <v>160.80999800000001</v>
      </c>
      <c r="F1018" s="3">
        <f t="shared" si="90"/>
        <v>2017</v>
      </c>
      <c r="G1018" s="3" t="str">
        <f t="shared" si="91"/>
        <v>May</v>
      </c>
      <c r="H1018" s="3" t="str">
        <f t="shared" si="92"/>
        <v>Q2</v>
      </c>
      <c r="I1018" s="3">
        <f t="shared" si="93"/>
        <v>-3.5158944030597061E-3</v>
      </c>
      <c r="J1018" s="3">
        <f t="shared" si="94"/>
        <v>-1.9504022245365106E-2</v>
      </c>
      <c r="K1018" s="3" t="str">
        <f t="shared" si="95"/>
        <v>Normal</v>
      </c>
      <c r="L1018" s="4">
        <f>VALUE(A1018)</f>
        <v>42867</v>
      </c>
    </row>
    <row r="1019" spans="1:12">
      <c r="A1019" s="5">
        <v>42870</v>
      </c>
      <c r="B1019" s="3">
        <v>957.96997099999999</v>
      </c>
      <c r="C1019" s="3">
        <v>192.92098999999999</v>
      </c>
      <c r="D1019" s="3">
        <v>1729.339966</v>
      </c>
      <c r="E1019" s="3">
        <v>160.020004</v>
      </c>
      <c r="F1019" s="3">
        <f t="shared" si="90"/>
        <v>2017</v>
      </c>
      <c r="G1019" s="3" t="str">
        <f t="shared" si="91"/>
        <v>May</v>
      </c>
      <c r="H1019" s="3" t="str">
        <f t="shared" si="92"/>
        <v>Q2</v>
      </c>
      <c r="I1019" s="3">
        <f t="shared" si="93"/>
        <v>8.4554174402195811E-3</v>
      </c>
      <c r="J1019" s="3">
        <f t="shared" si="94"/>
        <v>4.1611299348181453E-2</v>
      </c>
      <c r="K1019" s="3" t="str">
        <f t="shared" si="95"/>
        <v>Normal</v>
      </c>
      <c r="L1019" s="4">
        <f>VALUE(A1019)</f>
        <v>42870</v>
      </c>
    </row>
    <row r="1020" spans="1:12">
      <c r="A1020" s="5">
        <v>42871</v>
      </c>
      <c r="B1020" s="3">
        <v>966.07000700000003</v>
      </c>
      <c r="C1020" s="3">
        <v>192.636292</v>
      </c>
      <c r="D1020" s="3">
        <v>1801.3000489999999</v>
      </c>
      <c r="E1020" s="3">
        <v>159.41000399999999</v>
      </c>
      <c r="F1020" s="3">
        <f t="shared" si="90"/>
        <v>2017</v>
      </c>
      <c r="G1020" s="3" t="str">
        <f t="shared" si="91"/>
        <v>May</v>
      </c>
      <c r="H1020" s="3" t="str">
        <f t="shared" si="92"/>
        <v>Q2</v>
      </c>
      <c r="I1020" s="3">
        <f t="shared" si="93"/>
        <v>-2.2058439704773967E-2</v>
      </c>
      <c r="J1020" s="3">
        <f t="shared" si="94"/>
        <v>4.4240236957879576E-2</v>
      </c>
      <c r="K1020" s="3" t="str">
        <f t="shared" si="95"/>
        <v>Normal</v>
      </c>
      <c r="L1020" s="4">
        <f>VALUE(A1020)</f>
        <v>42871</v>
      </c>
    </row>
    <row r="1021" spans="1:12">
      <c r="A1021" s="5">
        <v>42872</v>
      </c>
      <c r="B1021" s="3">
        <v>944.76000999999997</v>
      </c>
      <c r="C1021" s="3">
        <v>187.953644</v>
      </c>
      <c r="D1021" s="3">
        <v>1880.98999</v>
      </c>
      <c r="E1021" s="3">
        <v>153.199997</v>
      </c>
      <c r="F1021" s="3">
        <f t="shared" si="90"/>
        <v>2017</v>
      </c>
      <c r="G1021" s="3" t="str">
        <f t="shared" si="91"/>
        <v>May</v>
      </c>
      <c r="H1021" s="3" t="str">
        <f t="shared" si="92"/>
        <v>Q2</v>
      </c>
      <c r="I1021" s="3">
        <f t="shared" si="93"/>
        <v>1.453277007353441E-2</v>
      </c>
      <c r="J1021" s="3">
        <f t="shared" si="94"/>
        <v>4.3067751785324473E-2</v>
      </c>
      <c r="K1021" s="3" t="str">
        <f t="shared" si="95"/>
        <v>Normal</v>
      </c>
      <c r="L1021" s="4">
        <f>VALUE(A1021)</f>
        <v>42872</v>
      </c>
    </row>
    <row r="1022" spans="1:12">
      <c r="A1022" s="5">
        <v>42873</v>
      </c>
      <c r="B1022" s="3">
        <v>958.48999000000003</v>
      </c>
      <c r="C1022" s="3">
        <v>191.14413500000001</v>
      </c>
      <c r="D1022" s="3">
        <v>1962</v>
      </c>
      <c r="E1022" s="3">
        <v>155.699997</v>
      </c>
      <c r="F1022" s="3">
        <f t="shared" si="90"/>
        <v>2017</v>
      </c>
      <c r="G1022" s="3" t="str">
        <f t="shared" si="91"/>
        <v>May</v>
      </c>
      <c r="H1022" s="3" t="str">
        <f t="shared" si="92"/>
        <v>Q2</v>
      </c>
      <c r="I1022" s="3">
        <f t="shared" si="93"/>
        <v>1.4085040157799972E-3</v>
      </c>
      <c r="J1022" s="3">
        <f t="shared" si="94"/>
        <v>3.9847122324158983E-2</v>
      </c>
      <c r="K1022" s="3" t="str">
        <f t="shared" si="95"/>
        <v>Normal</v>
      </c>
      <c r="L1022" s="4">
        <f>VALUE(A1022)</f>
        <v>42873</v>
      </c>
    </row>
    <row r="1023" spans="1:12">
      <c r="A1023" s="5">
        <v>42874</v>
      </c>
      <c r="B1023" s="3">
        <v>959.84002699999996</v>
      </c>
      <c r="C1023" s="3">
        <v>192.214157</v>
      </c>
      <c r="D1023" s="3">
        <v>2040.1800539999999</v>
      </c>
      <c r="E1023" s="3">
        <v>157.020004</v>
      </c>
      <c r="F1023" s="3">
        <f t="shared" si="90"/>
        <v>2017</v>
      </c>
      <c r="G1023" s="3" t="str">
        <f t="shared" si="91"/>
        <v>May</v>
      </c>
      <c r="H1023" s="3" t="str">
        <f t="shared" si="92"/>
        <v>Q2</v>
      </c>
      <c r="I1023" s="3">
        <f t="shared" si="93"/>
        <v>1.1283084363390525E-2</v>
      </c>
      <c r="J1023" s="3">
        <f t="shared" si="94"/>
        <v>0.11391152635982002</v>
      </c>
      <c r="K1023" s="3" t="str">
        <f t="shared" si="95"/>
        <v>High Volatility</v>
      </c>
      <c r="L1023" s="4">
        <f>VALUE(A1023)</f>
        <v>42874</v>
      </c>
    </row>
    <row r="1024" spans="1:12">
      <c r="A1024" s="5">
        <v>42877</v>
      </c>
      <c r="B1024" s="3">
        <v>970.669983</v>
      </c>
      <c r="C1024" s="3">
        <v>195.178864</v>
      </c>
      <c r="D1024" s="3">
        <v>2272.580078</v>
      </c>
      <c r="E1024" s="3">
        <v>157.16000399999999</v>
      </c>
      <c r="F1024" s="3">
        <f t="shared" si="90"/>
        <v>2017</v>
      </c>
      <c r="G1024" s="3" t="str">
        <f t="shared" si="91"/>
        <v>May</v>
      </c>
      <c r="H1024" s="3" t="str">
        <f t="shared" si="92"/>
        <v>Q2</v>
      </c>
      <c r="I1024" s="3">
        <f t="shared" si="93"/>
        <v>8.9628299549468732E-4</v>
      </c>
      <c r="J1024" s="3">
        <f t="shared" si="94"/>
        <v>7.5992900171854824E-2</v>
      </c>
      <c r="K1024" s="3" t="str">
        <f t="shared" si="95"/>
        <v>High Volatility</v>
      </c>
      <c r="L1024" s="4">
        <f>VALUE(A1024)</f>
        <v>42877</v>
      </c>
    </row>
    <row r="1025" spans="1:12">
      <c r="A1025" s="5">
        <v>42878</v>
      </c>
      <c r="B1025" s="3">
        <v>971.53997800000002</v>
      </c>
      <c r="C1025" s="3">
        <v>195.60101299999999</v>
      </c>
      <c r="D1025" s="3">
        <v>2445.280029</v>
      </c>
      <c r="E1025" s="3">
        <v>157.949997</v>
      </c>
      <c r="F1025" s="3">
        <f t="shared" si="90"/>
        <v>2017</v>
      </c>
      <c r="G1025" s="3" t="str">
        <f t="shared" si="91"/>
        <v>May</v>
      </c>
      <c r="H1025" s="3" t="str">
        <f t="shared" si="92"/>
        <v>Q2</v>
      </c>
      <c r="I1025" s="3">
        <f t="shared" si="93"/>
        <v>9.068075631983875E-3</v>
      </c>
      <c r="J1025" s="3">
        <f t="shared" si="94"/>
        <v>-5.6459814975244306E-2</v>
      </c>
      <c r="K1025" s="3" t="str">
        <f t="shared" si="95"/>
        <v>High Volatility</v>
      </c>
      <c r="L1025" s="4">
        <f>VALUE(A1025)</f>
        <v>42878</v>
      </c>
    </row>
    <row r="1026" spans="1:12">
      <c r="A1026" s="5">
        <v>42879</v>
      </c>
      <c r="B1026" s="3">
        <v>980.34997599999997</v>
      </c>
      <c r="C1026" s="3">
        <v>202.197937</v>
      </c>
      <c r="D1026" s="3">
        <v>2307.219971</v>
      </c>
      <c r="E1026" s="3">
        <v>157.75</v>
      </c>
      <c r="F1026" s="3">
        <f t="shared" si="90"/>
        <v>2017</v>
      </c>
      <c r="G1026" s="3" t="str">
        <f t="shared" si="91"/>
        <v>May</v>
      </c>
      <c r="H1026" s="3" t="str">
        <f t="shared" si="92"/>
        <v>Q2</v>
      </c>
      <c r="I1026" s="3">
        <f t="shared" si="93"/>
        <v>1.3291201427029987E-2</v>
      </c>
      <c r="J1026" s="3">
        <f t="shared" si="94"/>
        <v>-2.7015229923215655E-2</v>
      </c>
      <c r="K1026" s="3" t="str">
        <f t="shared" si="95"/>
        <v>Normal</v>
      </c>
      <c r="L1026" s="4">
        <f>VALUE(A1026)</f>
        <v>42879</v>
      </c>
    </row>
    <row r="1027" spans="1:12">
      <c r="A1027" s="5">
        <v>42880</v>
      </c>
      <c r="B1027" s="3">
        <v>993.38000499999998</v>
      </c>
      <c r="C1027" s="3">
        <v>204.229996</v>
      </c>
      <c r="D1027" s="3">
        <v>2244.889893</v>
      </c>
      <c r="E1027" s="3">
        <v>163.050003</v>
      </c>
      <c r="F1027" s="3">
        <f t="shared" ref="F1027:F1090" si="96">YEAR(A1027)</f>
        <v>2017</v>
      </c>
      <c r="G1027" s="3" t="str">
        <f t="shared" ref="G1027:G1090" si="97">TEXT(A1027,"MMM")</f>
        <v>May</v>
      </c>
      <c r="H1027" s="3" t="str">
        <f t="shared" ref="H1027:H1090" si="98">"Q"&amp;ROUNDUP(MONTH(A1027)/3,0)</f>
        <v>Q2</v>
      </c>
      <c r="I1027" s="3">
        <f t="shared" ref="I1027:I1090" si="99">(B1028-B1027)/B1027</f>
        <v>2.4160180272604042E-3</v>
      </c>
      <c r="J1027" s="3">
        <f t="shared" ref="J1027:J1090" si="100">(D1028-D1027)/D1027</f>
        <v>-8.573247249236024E-2</v>
      </c>
      <c r="K1027" s="3" t="str">
        <f t="shared" ref="K1027:K1090" si="101">IF(J1027="","",IF(ABS(J1027)&gt;0.05,"High Volatility","Normal"))</f>
        <v>High Volatility</v>
      </c>
      <c r="L1027" s="4">
        <f>VALUE(A1027)</f>
        <v>42880</v>
      </c>
    </row>
    <row r="1028" spans="1:12">
      <c r="A1028" s="5">
        <v>42881</v>
      </c>
      <c r="B1028" s="3">
        <v>995.78002900000001</v>
      </c>
      <c r="C1028" s="3">
        <v>203.25813299999999</v>
      </c>
      <c r="D1028" s="3">
        <v>2052.429932</v>
      </c>
      <c r="E1028" s="3">
        <v>162.429993</v>
      </c>
      <c r="F1028" s="3">
        <f t="shared" si="96"/>
        <v>2017</v>
      </c>
      <c r="G1028" s="3" t="str">
        <f t="shared" si="97"/>
        <v>May</v>
      </c>
      <c r="H1028" s="3" t="str">
        <f t="shared" si="98"/>
        <v>Q2</v>
      </c>
      <c r="I1028" s="3">
        <f t="shared" si="99"/>
        <v>9.2388175421019819E-4</v>
      </c>
      <c r="J1028" s="3">
        <f t="shared" si="100"/>
        <v>0.12225029078361732</v>
      </c>
      <c r="K1028" s="3" t="str">
        <f t="shared" si="101"/>
        <v>High Volatility</v>
      </c>
      <c r="L1028" s="4">
        <f>VALUE(A1028)</f>
        <v>42881</v>
      </c>
    </row>
    <row r="1029" spans="1:12">
      <c r="A1029" s="5">
        <v>42885</v>
      </c>
      <c r="B1029" s="3">
        <v>996.70001200000002</v>
      </c>
      <c r="C1029" s="3">
        <v>204.671753</v>
      </c>
      <c r="D1029" s="3">
        <v>2303.3400879999999</v>
      </c>
      <c r="E1029" s="3">
        <v>163.220001</v>
      </c>
      <c r="F1029" s="3">
        <f t="shared" si="96"/>
        <v>2017</v>
      </c>
      <c r="G1029" s="3" t="str">
        <f t="shared" si="97"/>
        <v>May</v>
      </c>
      <c r="H1029" s="3" t="str">
        <f t="shared" si="98"/>
        <v>Q2</v>
      </c>
      <c r="I1029" s="3">
        <f t="shared" si="99"/>
        <v>-2.0869037573564291E-3</v>
      </c>
      <c r="J1029" s="3">
        <f t="shared" si="100"/>
        <v>4.7457088325551774E-2</v>
      </c>
      <c r="K1029" s="3" t="str">
        <f t="shared" si="101"/>
        <v>Normal</v>
      </c>
      <c r="L1029" s="4">
        <f>VALUE(A1029)</f>
        <v>42885</v>
      </c>
    </row>
    <row r="1030" spans="1:12">
      <c r="A1030" s="5">
        <v>42886</v>
      </c>
      <c r="B1030" s="3">
        <v>994.61999500000002</v>
      </c>
      <c r="C1030" s="3">
        <v>207.84260599999999</v>
      </c>
      <c r="D1030" s="3">
        <v>2412.6499020000001</v>
      </c>
      <c r="E1030" s="3">
        <v>163.070007</v>
      </c>
      <c r="F1030" s="3">
        <f t="shared" si="96"/>
        <v>2017</v>
      </c>
      <c r="G1030" s="3" t="str">
        <f t="shared" si="97"/>
        <v>May</v>
      </c>
      <c r="H1030" s="3" t="str">
        <f t="shared" si="98"/>
        <v>Q2</v>
      </c>
      <c r="I1030" s="3">
        <f t="shared" si="99"/>
        <v>1.337211202957968E-3</v>
      </c>
      <c r="J1030" s="3">
        <f t="shared" si="100"/>
        <v>3.3137918573981219E-2</v>
      </c>
      <c r="K1030" s="3" t="str">
        <f t="shared" si="101"/>
        <v>Normal</v>
      </c>
      <c r="L1030" s="4">
        <f>VALUE(A1030)</f>
        <v>42886</v>
      </c>
    </row>
    <row r="1031" spans="1:12">
      <c r="A1031" s="5">
        <v>42887</v>
      </c>
      <c r="B1031" s="3">
        <v>995.95001200000002</v>
      </c>
      <c r="C1031" s="3">
        <v>211.39631700000001</v>
      </c>
      <c r="D1031" s="3">
        <v>2492.6000979999999</v>
      </c>
      <c r="E1031" s="3">
        <v>162.990005</v>
      </c>
      <c r="F1031" s="3">
        <f t="shared" si="96"/>
        <v>2017</v>
      </c>
      <c r="G1031" s="3" t="str">
        <f t="shared" si="97"/>
        <v>Jun</v>
      </c>
      <c r="H1031" s="3" t="str">
        <f t="shared" si="98"/>
        <v>Q2</v>
      </c>
      <c r="I1031" s="3">
        <f t="shared" si="99"/>
        <v>1.0823804277437912E-2</v>
      </c>
      <c r="J1031" s="3">
        <f t="shared" si="100"/>
        <v>2.1194668989377583E-2</v>
      </c>
      <c r="K1031" s="3" t="str">
        <f t="shared" si="101"/>
        <v>Normal</v>
      </c>
      <c r="L1031" s="4">
        <f>VALUE(A1031)</f>
        <v>42887</v>
      </c>
    </row>
    <row r="1032" spans="1:12">
      <c r="A1032" s="5">
        <v>42888</v>
      </c>
      <c r="B1032" s="3">
        <v>1006.72998</v>
      </c>
      <c r="C1032" s="3">
        <v>214.05668600000001</v>
      </c>
      <c r="D1032" s="3">
        <v>2545.429932</v>
      </c>
      <c r="E1032" s="3">
        <v>165.179993</v>
      </c>
      <c r="F1032" s="3">
        <f t="shared" si="96"/>
        <v>2017</v>
      </c>
      <c r="G1032" s="3" t="str">
        <f t="shared" si="97"/>
        <v>Jun</v>
      </c>
      <c r="H1032" s="3" t="str">
        <f t="shared" si="98"/>
        <v>Q2</v>
      </c>
      <c r="I1032" s="3">
        <f t="shared" si="99"/>
        <v>4.5792288812140161E-3</v>
      </c>
      <c r="J1032" s="3">
        <f t="shared" si="100"/>
        <v>0.12770733301803572</v>
      </c>
      <c r="K1032" s="3" t="str">
        <f t="shared" si="101"/>
        <v>High Volatility</v>
      </c>
      <c r="L1032" s="4">
        <f>VALUE(A1032)</f>
        <v>42888</v>
      </c>
    </row>
    <row r="1033" spans="1:12">
      <c r="A1033" s="5">
        <v>42891</v>
      </c>
      <c r="B1033" s="3">
        <v>1011.340027</v>
      </c>
      <c r="C1033" s="3">
        <v>213.12406899999999</v>
      </c>
      <c r="D1033" s="3">
        <v>2870.5</v>
      </c>
      <c r="E1033" s="3">
        <v>165.05999800000001</v>
      </c>
      <c r="F1033" s="3">
        <f t="shared" si="96"/>
        <v>2017</v>
      </c>
      <c r="G1033" s="3" t="str">
        <f t="shared" si="97"/>
        <v>Jun</v>
      </c>
      <c r="H1033" s="3" t="str">
        <f t="shared" si="98"/>
        <v>Q2</v>
      </c>
      <c r="I1033" s="3">
        <f t="shared" si="99"/>
        <v>-8.2465113387625907E-3</v>
      </c>
      <c r="J1033" s="3">
        <f t="shared" si="100"/>
        <v>-6.2354986936073865E-2</v>
      </c>
      <c r="K1033" s="3" t="str">
        <f t="shared" si="101"/>
        <v>High Volatility</v>
      </c>
      <c r="L1033" s="4">
        <f>VALUE(A1033)</f>
        <v>42891</v>
      </c>
    </row>
    <row r="1034" spans="1:12">
      <c r="A1034" s="5">
        <v>42892</v>
      </c>
      <c r="B1034" s="3">
        <v>1003</v>
      </c>
      <c r="C1034" s="3">
        <v>213.86035200000001</v>
      </c>
      <c r="D1034" s="3">
        <v>2691.51001</v>
      </c>
      <c r="E1034" s="3">
        <v>165.16999799999999</v>
      </c>
      <c r="F1034" s="3">
        <f t="shared" si="96"/>
        <v>2017</v>
      </c>
      <c r="G1034" s="3" t="str">
        <f t="shared" si="97"/>
        <v>Jun</v>
      </c>
      <c r="H1034" s="3" t="str">
        <f t="shared" si="98"/>
        <v>Q2</v>
      </c>
      <c r="I1034" s="3">
        <f t="shared" si="99"/>
        <v>7.0488604187438006E-3</v>
      </c>
      <c r="J1034" s="3">
        <f t="shared" si="100"/>
        <v>3.9854958221017374E-2</v>
      </c>
      <c r="K1034" s="3" t="str">
        <f t="shared" si="101"/>
        <v>Normal</v>
      </c>
      <c r="L1034" s="4">
        <f>VALUE(A1034)</f>
        <v>42892</v>
      </c>
    </row>
    <row r="1035" spans="1:12">
      <c r="A1035" s="5">
        <v>42893</v>
      </c>
      <c r="B1035" s="3">
        <v>1010.070007</v>
      </c>
      <c r="C1035" s="3">
        <v>214.15484599999999</v>
      </c>
      <c r="D1035" s="3">
        <v>2798.780029</v>
      </c>
      <c r="E1035" s="3">
        <v>165.61000100000001</v>
      </c>
      <c r="F1035" s="3">
        <f t="shared" si="96"/>
        <v>2017</v>
      </c>
      <c r="G1035" s="3" t="str">
        <f t="shared" si="97"/>
        <v>Jun</v>
      </c>
      <c r="H1035" s="3" t="str">
        <f t="shared" si="98"/>
        <v>Q2</v>
      </c>
      <c r="I1035" s="3">
        <f t="shared" si="99"/>
        <v>1.9801894780943895E-4</v>
      </c>
      <c r="J1035" s="3">
        <f t="shared" si="100"/>
        <v>4.5197917910396786E-3</v>
      </c>
      <c r="K1035" s="3" t="str">
        <f t="shared" si="101"/>
        <v>Normal</v>
      </c>
      <c r="L1035" s="4">
        <f>VALUE(A1035)</f>
        <v>42893</v>
      </c>
    </row>
    <row r="1036" spans="1:12">
      <c r="A1036" s="5">
        <v>42894</v>
      </c>
      <c r="B1036" s="3">
        <v>1010.27002</v>
      </c>
      <c r="C1036" s="3">
        <v>213.88980100000001</v>
      </c>
      <c r="D1036" s="3">
        <v>2811.429932</v>
      </c>
      <c r="E1036" s="3">
        <v>165.88000500000001</v>
      </c>
      <c r="F1036" s="3">
        <f t="shared" si="96"/>
        <v>2017</v>
      </c>
      <c r="G1036" s="3" t="str">
        <f t="shared" si="97"/>
        <v>Jun</v>
      </c>
      <c r="H1036" s="3" t="str">
        <f t="shared" si="98"/>
        <v>Q2</v>
      </c>
      <c r="I1036" s="3">
        <f t="shared" si="99"/>
        <v>-3.1635128596610336E-2</v>
      </c>
      <c r="J1036" s="3">
        <f t="shared" si="100"/>
        <v>3.159248857282209E-2</v>
      </c>
      <c r="K1036" s="3" t="str">
        <f t="shared" si="101"/>
        <v>Normal</v>
      </c>
      <c r="L1036" s="4">
        <f>VALUE(A1036)</f>
        <v>42894</v>
      </c>
    </row>
    <row r="1037" spans="1:12">
      <c r="A1037" s="5">
        <v>42895</v>
      </c>
      <c r="B1037" s="3">
        <v>978.30999799999995</v>
      </c>
      <c r="C1037" s="3">
        <v>202.413895</v>
      </c>
      <c r="D1037" s="3">
        <v>2900.25</v>
      </c>
      <c r="E1037" s="3">
        <v>158.029999</v>
      </c>
      <c r="F1037" s="3">
        <f t="shared" si="96"/>
        <v>2017</v>
      </c>
      <c r="G1037" s="3" t="str">
        <f t="shared" si="97"/>
        <v>Jun</v>
      </c>
      <c r="H1037" s="3" t="str">
        <f t="shared" si="98"/>
        <v>Q2</v>
      </c>
      <c r="I1037" s="3">
        <f t="shared" si="99"/>
        <v>-1.3697115461759713E-2</v>
      </c>
      <c r="J1037" s="3">
        <f t="shared" si="100"/>
        <v>-6.4566851133522965E-2</v>
      </c>
      <c r="K1037" s="3" t="str">
        <f t="shared" si="101"/>
        <v>High Volatility</v>
      </c>
      <c r="L1037" s="4">
        <f>VALUE(A1037)</f>
        <v>42895</v>
      </c>
    </row>
    <row r="1038" spans="1:12">
      <c r="A1038" s="5">
        <v>42898</v>
      </c>
      <c r="B1038" s="3">
        <v>964.90997300000004</v>
      </c>
      <c r="C1038" s="3">
        <v>200.33273299999999</v>
      </c>
      <c r="D1038" s="3">
        <v>2712.98999</v>
      </c>
      <c r="E1038" s="3">
        <v>151.44000199999999</v>
      </c>
      <c r="F1038" s="3">
        <f t="shared" si="96"/>
        <v>2017</v>
      </c>
      <c r="G1038" s="3" t="str">
        <f t="shared" si="97"/>
        <v>Jun</v>
      </c>
      <c r="H1038" s="3" t="str">
        <f t="shared" si="98"/>
        <v>Q2</v>
      </c>
      <c r="I1038" s="3">
        <f t="shared" si="99"/>
        <v>1.6457499087326754E-2</v>
      </c>
      <c r="J1038" s="3">
        <f t="shared" si="100"/>
        <v>-9.0571646377508419E-2</v>
      </c>
      <c r="K1038" s="3" t="str">
        <f t="shared" si="101"/>
        <v>High Volatility</v>
      </c>
      <c r="L1038" s="4">
        <f>VALUE(A1038)</f>
        <v>42898</v>
      </c>
    </row>
    <row r="1039" spans="1:12">
      <c r="A1039" s="5">
        <v>42899</v>
      </c>
      <c r="B1039" s="3">
        <v>980.78997800000002</v>
      </c>
      <c r="C1039" s="3">
        <v>205.04560900000001</v>
      </c>
      <c r="D1039" s="3">
        <v>2467.2700199999999</v>
      </c>
      <c r="E1039" s="3">
        <v>152.720001</v>
      </c>
      <c r="F1039" s="3">
        <f t="shared" si="96"/>
        <v>2017</v>
      </c>
      <c r="G1039" s="3" t="str">
        <f t="shared" si="97"/>
        <v>Jun</v>
      </c>
      <c r="H1039" s="3" t="str">
        <f t="shared" si="98"/>
        <v>Q2</v>
      </c>
      <c r="I1039" s="3">
        <f t="shared" si="99"/>
        <v>-4.4046198441069634E-3</v>
      </c>
      <c r="J1039" s="3">
        <f t="shared" si="100"/>
        <v>-1.0055672382384766E-2</v>
      </c>
      <c r="K1039" s="3" t="str">
        <f t="shared" si="101"/>
        <v>Normal</v>
      </c>
      <c r="L1039" s="4">
        <f>VALUE(A1039)</f>
        <v>42899</v>
      </c>
    </row>
    <row r="1040" spans="1:12">
      <c r="A1040" s="5">
        <v>42900</v>
      </c>
      <c r="B1040" s="3">
        <v>976.46997099999999</v>
      </c>
      <c r="C1040" s="3">
        <v>207.17085299999999</v>
      </c>
      <c r="D1040" s="3">
        <v>2442.459961</v>
      </c>
      <c r="E1040" s="3">
        <v>152.199997</v>
      </c>
      <c r="F1040" s="3">
        <f t="shared" si="96"/>
        <v>2017</v>
      </c>
      <c r="G1040" s="3" t="str">
        <f t="shared" si="97"/>
        <v>Jun</v>
      </c>
      <c r="H1040" s="3" t="str">
        <f t="shared" si="98"/>
        <v>Q2</v>
      </c>
      <c r="I1040" s="3">
        <f t="shared" si="99"/>
        <v>-1.2596381215290834E-2</v>
      </c>
      <c r="J1040" s="3">
        <f t="shared" si="100"/>
        <v>2.7071116028828911E-2</v>
      </c>
      <c r="K1040" s="3" t="str">
        <f t="shared" si="101"/>
        <v>Normal</v>
      </c>
      <c r="L1040" s="4">
        <f>VALUE(A1040)</f>
        <v>42900</v>
      </c>
    </row>
    <row r="1041" spans="1:12">
      <c r="A1041" s="5">
        <v>42901</v>
      </c>
      <c r="B1041" s="3">
        <v>964.169983</v>
      </c>
      <c r="C1041" s="3">
        <v>206.18695099999999</v>
      </c>
      <c r="D1041" s="3">
        <v>2508.580078</v>
      </c>
      <c r="E1041" s="3">
        <v>151.759995</v>
      </c>
      <c r="F1041" s="3">
        <f t="shared" si="96"/>
        <v>2017</v>
      </c>
      <c r="G1041" s="3" t="str">
        <f t="shared" si="97"/>
        <v>Jun</v>
      </c>
      <c r="H1041" s="3" t="str">
        <f t="shared" si="98"/>
        <v>Q2</v>
      </c>
      <c r="I1041" s="3">
        <f t="shared" si="99"/>
        <v>2.4414822505421204E-2</v>
      </c>
      <c r="J1041" s="3">
        <f t="shared" si="100"/>
        <v>5.8407551461069976E-2</v>
      </c>
      <c r="K1041" s="3" t="str">
        <f t="shared" si="101"/>
        <v>High Volatility</v>
      </c>
      <c r="L1041" s="4">
        <f>VALUE(A1041)</f>
        <v>42901</v>
      </c>
    </row>
    <row r="1042" spans="1:12">
      <c r="A1042" s="5">
        <v>42902</v>
      </c>
      <c r="B1042" s="3">
        <v>987.71002199999998</v>
      </c>
      <c r="C1042" s="3">
        <v>207.44635</v>
      </c>
      <c r="D1042" s="3">
        <v>2655.1000979999999</v>
      </c>
      <c r="E1042" s="3">
        <v>152.38000500000001</v>
      </c>
      <c r="F1042" s="3">
        <f t="shared" si="96"/>
        <v>2017</v>
      </c>
      <c r="G1042" s="3" t="str">
        <f t="shared" si="97"/>
        <v>Jun</v>
      </c>
      <c r="H1042" s="3" t="str">
        <f t="shared" si="98"/>
        <v>Q2</v>
      </c>
      <c r="I1042" s="3">
        <f t="shared" si="99"/>
        <v>7.5527845560323988E-3</v>
      </c>
      <c r="J1042" s="3">
        <f t="shared" si="100"/>
        <v>3.7392106261750505E-2</v>
      </c>
      <c r="K1042" s="3" t="str">
        <f t="shared" si="101"/>
        <v>Normal</v>
      </c>
      <c r="L1042" s="4">
        <f>VALUE(A1042)</f>
        <v>42902</v>
      </c>
    </row>
    <row r="1043" spans="1:12">
      <c r="A1043" s="5">
        <v>42905</v>
      </c>
      <c r="B1043" s="3">
        <v>995.169983</v>
      </c>
      <c r="C1043" s="3">
        <v>212.25762900000001</v>
      </c>
      <c r="D1043" s="3">
        <v>2754.3798830000001</v>
      </c>
      <c r="E1043" s="3">
        <v>153.39999399999999</v>
      </c>
      <c r="F1043" s="3">
        <f t="shared" si="96"/>
        <v>2017</v>
      </c>
      <c r="G1043" s="3" t="str">
        <f t="shared" si="97"/>
        <v>Jun</v>
      </c>
      <c r="H1043" s="3" t="str">
        <f t="shared" si="98"/>
        <v>Q2</v>
      </c>
      <c r="I1043" s="3">
        <f t="shared" si="99"/>
        <v>-2.5924777114183098E-3</v>
      </c>
      <c r="J1043" s="3">
        <f t="shared" si="100"/>
        <v>-2.7868256834781755E-2</v>
      </c>
      <c r="K1043" s="3" t="str">
        <f t="shared" si="101"/>
        <v>Normal</v>
      </c>
      <c r="L1043" s="4">
        <f>VALUE(A1043)</f>
        <v>42905</v>
      </c>
    </row>
    <row r="1044" spans="1:12">
      <c r="A1044" s="5">
        <v>42906</v>
      </c>
      <c r="B1044" s="3">
        <v>992.59002699999996</v>
      </c>
      <c r="C1044" s="3">
        <v>211.568893</v>
      </c>
      <c r="D1044" s="3">
        <v>2677.6201169999999</v>
      </c>
      <c r="E1044" s="3">
        <v>152.050003</v>
      </c>
      <c r="F1044" s="3">
        <f t="shared" si="96"/>
        <v>2017</v>
      </c>
      <c r="G1044" s="3" t="str">
        <f t="shared" si="97"/>
        <v>Jun</v>
      </c>
      <c r="H1044" s="3" t="str">
        <f t="shared" si="98"/>
        <v>Q2</v>
      </c>
      <c r="I1044" s="3">
        <f t="shared" si="99"/>
        <v>9.7119180505326509E-3</v>
      </c>
      <c r="J1044" s="3">
        <f t="shared" si="100"/>
        <v>1.6888120429370074E-2</v>
      </c>
      <c r="K1044" s="3" t="str">
        <f t="shared" si="101"/>
        <v>Normal</v>
      </c>
      <c r="L1044" s="4">
        <f>VALUE(A1044)</f>
        <v>42906</v>
      </c>
    </row>
    <row r="1045" spans="1:12">
      <c r="A1045" s="5">
        <v>42907</v>
      </c>
      <c r="B1045" s="3">
        <v>1002.22998</v>
      </c>
      <c r="C1045" s="3">
        <v>212.61184700000001</v>
      </c>
      <c r="D1045" s="3">
        <v>2722.8400879999999</v>
      </c>
      <c r="E1045" s="3">
        <v>155.029999</v>
      </c>
      <c r="F1045" s="3">
        <f t="shared" si="96"/>
        <v>2017</v>
      </c>
      <c r="G1045" s="3" t="str">
        <f t="shared" si="97"/>
        <v>Jun</v>
      </c>
      <c r="H1045" s="3" t="str">
        <f t="shared" si="98"/>
        <v>Q2</v>
      </c>
      <c r="I1045" s="3">
        <f t="shared" si="99"/>
        <v>-9.2792275082408755E-4</v>
      </c>
      <c r="J1045" s="3">
        <f t="shared" si="100"/>
        <v>-4.5797661988881324E-3</v>
      </c>
      <c r="K1045" s="3" t="str">
        <f t="shared" si="101"/>
        <v>Normal</v>
      </c>
      <c r="L1045" s="4">
        <f>VALUE(A1045)</f>
        <v>42907</v>
      </c>
    </row>
    <row r="1046" spans="1:12">
      <c r="A1046" s="5">
        <v>42908</v>
      </c>
      <c r="B1046" s="3">
        <v>1001.299988</v>
      </c>
      <c r="C1046" s="3">
        <v>214.579666</v>
      </c>
      <c r="D1046" s="3">
        <v>2710.3701169999999</v>
      </c>
      <c r="E1046" s="3">
        <v>154.88999899999999</v>
      </c>
      <c r="F1046" s="3">
        <f t="shared" si="96"/>
        <v>2017</v>
      </c>
      <c r="G1046" s="3" t="str">
        <f t="shared" si="97"/>
        <v>Jun</v>
      </c>
      <c r="H1046" s="3" t="str">
        <f t="shared" si="98"/>
        <v>Q2</v>
      </c>
      <c r="I1046" s="3">
        <f t="shared" si="99"/>
        <v>2.4368341448537494E-3</v>
      </c>
      <c r="J1046" s="3">
        <f t="shared" si="100"/>
        <v>-4.4392486194165047E-2</v>
      </c>
      <c r="K1046" s="3" t="str">
        <f t="shared" si="101"/>
        <v>Normal</v>
      </c>
      <c r="L1046" s="4">
        <f>VALUE(A1046)</f>
        <v>42908</v>
      </c>
    </row>
    <row r="1047" spans="1:12">
      <c r="A1047" s="5">
        <v>42909</v>
      </c>
      <c r="B1047" s="3">
        <v>1003.73999</v>
      </c>
      <c r="C1047" s="3">
        <v>213.55641199999999</v>
      </c>
      <c r="D1047" s="3">
        <v>2590.0500489999999</v>
      </c>
      <c r="E1047" s="3">
        <v>158.020004</v>
      </c>
      <c r="F1047" s="3">
        <f t="shared" si="96"/>
        <v>2017</v>
      </c>
      <c r="G1047" s="3" t="str">
        <f t="shared" si="97"/>
        <v>Jun</v>
      </c>
      <c r="H1047" s="3" t="str">
        <f t="shared" si="98"/>
        <v>Q2</v>
      </c>
      <c r="I1047" s="3">
        <f t="shared" si="99"/>
        <v>-9.7236436699110491E-3</v>
      </c>
      <c r="J1047" s="3">
        <f t="shared" si="100"/>
        <v>-2.4324043477199791E-3</v>
      </c>
      <c r="K1047" s="3" t="str">
        <f t="shared" si="101"/>
        <v>Normal</v>
      </c>
      <c r="L1047" s="4">
        <f>VALUE(A1047)</f>
        <v>42909</v>
      </c>
    </row>
    <row r="1048" spans="1:12">
      <c r="A1048" s="5">
        <v>42912</v>
      </c>
      <c r="B1048" s="3">
        <v>993.97997999999995</v>
      </c>
      <c r="C1048" s="3">
        <v>215.356934</v>
      </c>
      <c r="D1048" s="3">
        <v>2583.75</v>
      </c>
      <c r="E1048" s="3">
        <v>157.5</v>
      </c>
      <c r="F1048" s="3">
        <f t="shared" si="96"/>
        <v>2017</v>
      </c>
      <c r="G1048" s="3" t="str">
        <f t="shared" si="97"/>
        <v>Jun</v>
      </c>
      <c r="H1048" s="3" t="str">
        <f t="shared" si="98"/>
        <v>Q2</v>
      </c>
      <c r="I1048" s="3">
        <f t="shared" si="99"/>
        <v>-1.7304122161494583E-2</v>
      </c>
      <c r="J1048" s="3">
        <f t="shared" si="100"/>
        <v>-2.3260803096274664E-3</v>
      </c>
      <c r="K1048" s="3" t="str">
        <f t="shared" si="101"/>
        <v>Normal</v>
      </c>
      <c r="L1048" s="4">
        <f>VALUE(A1048)</f>
        <v>42912</v>
      </c>
    </row>
    <row r="1049" spans="1:12">
      <c r="A1049" s="5">
        <v>42913</v>
      </c>
      <c r="B1049" s="3">
        <v>976.78002900000001</v>
      </c>
      <c r="C1049" s="3">
        <v>209.70931999999999</v>
      </c>
      <c r="D1049" s="3">
        <v>2577.73999</v>
      </c>
      <c r="E1049" s="3">
        <v>151.029999</v>
      </c>
      <c r="F1049" s="3">
        <f t="shared" si="96"/>
        <v>2017</v>
      </c>
      <c r="G1049" s="3" t="str">
        <f t="shared" si="97"/>
        <v>Jun</v>
      </c>
      <c r="H1049" s="3" t="str">
        <f t="shared" si="98"/>
        <v>Q2</v>
      </c>
      <c r="I1049" s="3">
        <f t="shared" si="99"/>
        <v>1.387209770645299E-2</v>
      </c>
      <c r="J1049" s="3">
        <f t="shared" si="100"/>
        <v>-7.5142850229825151E-3</v>
      </c>
      <c r="K1049" s="3" t="str">
        <f t="shared" si="101"/>
        <v>Normal</v>
      </c>
      <c r="L1049" s="4">
        <f>VALUE(A1049)</f>
        <v>42913</v>
      </c>
    </row>
    <row r="1050" spans="1:12">
      <c r="A1050" s="5">
        <v>42914</v>
      </c>
      <c r="B1050" s="3">
        <v>990.330017</v>
      </c>
      <c r="C1050" s="3">
        <v>210.16194200000001</v>
      </c>
      <c r="D1050" s="3">
        <v>2558.3701169999999</v>
      </c>
      <c r="E1050" s="3">
        <v>153.41000399999999</v>
      </c>
      <c r="F1050" s="3">
        <f t="shared" si="96"/>
        <v>2017</v>
      </c>
      <c r="G1050" s="3" t="str">
        <f t="shared" si="97"/>
        <v>Jun</v>
      </c>
      <c r="H1050" s="3" t="str">
        <f t="shared" si="98"/>
        <v>Q2</v>
      </c>
      <c r="I1050" s="3">
        <f t="shared" si="99"/>
        <v>-1.4540631660970881E-2</v>
      </c>
      <c r="J1050" s="3">
        <f t="shared" si="100"/>
        <v>-3.0394355172965761E-2</v>
      </c>
      <c r="K1050" s="3" t="str">
        <f t="shared" si="101"/>
        <v>Normal</v>
      </c>
      <c r="L1050" s="4">
        <f>VALUE(A1050)</f>
        <v>42914</v>
      </c>
    </row>
    <row r="1051" spans="1:12">
      <c r="A1051" s="5">
        <v>42915</v>
      </c>
      <c r="B1051" s="3">
        <v>975.92999299999997</v>
      </c>
      <c r="C1051" s="3">
        <v>207.357788</v>
      </c>
      <c r="D1051" s="3">
        <v>2480.610107</v>
      </c>
      <c r="E1051" s="3">
        <v>150.08999600000001</v>
      </c>
      <c r="F1051" s="3">
        <f t="shared" si="96"/>
        <v>2017</v>
      </c>
      <c r="G1051" s="3" t="str">
        <f t="shared" si="97"/>
        <v>Jun</v>
      </c>
      <c r="H1051" s="3" t="str">
        <f t="shared" si="98"/>
        <v>Q2</v>
      </c>
      <c r="I1051" s="3">
        <f t="shared" si="99"/>
        <v>-8.1255756630895636E-3</v>
      </c>
      <c r="J1051" s="3">
        <f t="shared" si="100"/>
        <v>-2.2575091443018135E-2</v>
      </c>
      <c r="K1051" s="3" t="str">
        <f t="shared" si="101"/>
        <v>Normal</v>
      </c>
      <c r="L1051" s="4">
        <f>VALUE(A1051)</f>
        <v>42915</v>
      </c>
    </row>
    <row r="1052" spans="1:12">
      <c r="A1052" s="5">
        <v>42916</v>
      </c>
      <c r="B1052" s="3">
        <v>968</v>
      </c>
      <c r="C1052" s="3">
        <v>208.12522899999999</v>
      </c>
      <c r="D1052" s="3">
        <v>2424.610107</v>
      </c>
      <c r="E1052" s="3">
        <v>149.41000399999999</v>
      </c>
      <c r="F1052" s="3">
        <f t="shared" si="96"/>
        <v>2017</v>
      </c>
      <c r="G1052" s="3" t="str">
        <f t="shared" si="97"/>
        <v>Jun</v>
      </c>
      <c r="H1052" s="3" t="str">
        <f t="shared" si="98"/>
        <v>Q2</v>
      </c>
      <c r="I1052" s="3">
        <f t="shared" si="99"/>
        <v>-1.4814077479338805E-2</v>
      </c>
      <c r="J1052" s="3">
        <f t="shared" si="100"/>
        <v>7.9480804127490187E-2</v>
      </c>
      <c r="K1052" s="3" t="str">
        <f t="shared" si="101"/>
        <v>High Volatility</v>
      </c>
      <c r="L1052" s="4">
        <f>VALUE(A1052)</f>
        <v>42916</v>
      </c>
    </row>
    <row r="1053" spans="1:12">
      <c r="A1053" s="5">
        <v>42919</v>
      </c>
      <c r="B1053" s="3">
        <v>953.65997300000004</v>
      </c>
      <c r="C1053" s="3">
        <v>206.54113799999999</v>
      </c>
      <c r="D1053" s="3">
        <v>2617.320068</v>
      </c>
      <c r="E1053" s="3">
        <v>146.16999799999999</v>
      </c>
      <c r="F1053" s="3">
        <f t="shared" si="96"/>
        <v>2017</v>
      </c>
      <c r="G1053" s="3" t="str">
        <f t="shared" si="97"/>
        <v>Jul</v>
      </c>
      <c r="H1053" s="3" t="str">
        <f t="shared" si="98"/>
        <v>Q3</v>
      </c>
      <c r="I1053" s="3">
        <f t="shared" si="99"/>
        <v>1.8602071495350463E-2</v>
      </c>
      <c r="J1053" s="3">
        <f t="shared" si="100"/>
        <v>-1.1768060153046433E-3</v>
      </c>
      <c r="K1053" s="3" t="str">
        <f t="shared" si="101"/>
        <v>Normal</v>
      </c>
      <c r="L1053" s="4">
        <f>VALUE(A1053)</f>
        <v>42919</v>
      </c>
    </row>
    <row r="1054" spans="1:12">
      <c r="A1054" s="5">
        <v>42921</v>
      </c>
      <c r="B1054" s="3">
        <v>971.40002400000003</v>
      </c>
      <c r="C1054" s="3">
        <v>204.68158</v>
      </c>
      <c r="D1054" s="3">
        <v>2614.23999</v>
      </c>
      <c r="E1054" s="3">
        <v>147.61000100000001</v>
      </c>
      <c r="F1054" s="3">
        <f t="shared" si="96"/>
        <v>2017</v>
      </c>
      <c r="G1054" s="3" t="str">
        <f t="shared" si="97"/>
        <v>Jul</v>
      </c>
      <c r="H1054" s="3" t="str">
        <f t="shared" si="98"/>
        <v>Q3</v>
      </c>
      <c r="I1054" s="3">
        <f t="shared" si="99"/>
        <v>-6.4443162912667185E-3</v>
      </c>
      <c r="J1054" s="3">
        <f t="shared" si="100"/>
        <v>-3.8389783410818362E-2</v>
      </c>
      <c r="K1054" s="3" t="str">
        <f t="shared" si="101"/>
        <v>Normal</v>
      </c>
      <c r="L1054" s="4">
        <f>VALUE(A1054)</f>
        <v>42921</v>
      </c>
    </row>
    <row r="1055" spans="1:12">
      <c r="A1055" s="5">
        <v>42922</v>
      </c>
      <c r="B1055" s="3">
        <v>965.14001499999995</v>
      </c>
      <c r="C1055" s="3">
        <v>205.4785</v>
      </c>
      <c r="D1055" s="3">
        <v>2513.8798830000001</v>
      </c>
      <c r="E1055" s="3">
        <v>146.25</v>
      </c>
      <c r="F1055" s="3">
        <f t="shared" si="96"/>
        <v>2017</v>
      </c>
      <c r="G1055" s="3" t="str">
        <f t="shared" si="97"/>
        <v>Jul</v>
      </c>
      <c r="H1055" s="3" t="str">
        <f t="shared" si="98"/>
        <v>Q3</v>
      </c>
      <c r="I1055" s="3">
        <f t="shared" si="99"/>
        <v>1.4111936908967573E-2</v>
      </c>
      <c r="J1055" s="3">
        <f t="shared" si="100"/>
        <v>2.0279498771898923E-2</v>
      </c>
      <c r="K1055" s="3" t="str">
        <f t="shared" si="101"/>
        <v>Normal</v>
      </c>
      <c r="L1055" s="4">
        <f>VALUE(A1055)</f>
        <v>42922</v>
      </c>
    </row>
    <row r="1056" spans="1:12">
      <c r="A1056" s="5">
        <v>42923</v>
      </c>
      <c r="B1056" s="3">
        <v>978.76000999999997</v>
      </c>
      <c r="C1056" s="3">
        <v>208.90254200000001</v>
      </c>
      <c r="D1056" s="3">
        <v>2564.860107</v>
      </c>
      <c r="E1056" s="3">
        <v>150.179993</v>
      </c>
      <c r="F1056" s="3">
        <f t="shared" si="96"/>
        <v>2017</v>
      </c>
      <c r="G1056" s="3" t="str">
        <f t="shared" si="97"/>
        <v>Jul</v>
      </c>
      <c r="H1056" s="3" t="str">
        <f t="shared" si="98"/>
        <v>Q3</v>
      </c>
      <c r="I1056" s="3">
        <f t="shared" si="99"/>
        <v>1.8094283398440054E-2</v>
      </c>
      <c r="J1056" s="3">
        <f t="shared" si="100"/>
        <v>-9.3794615676479856E-2</v>
      </c>
      <c r="K1056" s="3" t="str">
        <f t="shared" si="101"/>
        <v>High Volatility</v>
      </c>
      <c r="L1056" s="4">
        <f>VALUE(A1056)</f>
        <v>42923</v>
      </c>
    </row>
    <row r="1057" spans="1:12">
      <c r="A1057" s="5">
        <v>42926</v>
      </c>
      <c r="B1057" s="3">
        <v>996.46997099999999</v>
      </c>
      <c r="C1057" s="3">
        <v>208.21379099999999</v>
      </c>
      <c r="D1057" s="3">
        <v>2324.290039</v>
      </c>
      <c r="E1057" s="3">
        <v>152.66999799999999</v>
      </c>
      <c r="F1057" s="3">
        <f t="shared" si="96"/>
        <v>2017</v>
      </c>
      <c r="G1057" s="3" t="str">
        <f t="shared" si="97"/>
        <v>Jul</v>
      </c>
      <c r="H1057" s="3" t="str">
        <f t="shared" si="98"/>
        <v>Q3</v>
      </c>
      <c r="I1057" s="3">
        <f t="shared" si="99"/>
        <v>-2.3482554096956364E-3</v>
      </c>
      <c r="J1057" s="3">
        <f t="shared" si="100"/>
        <v>3.3902846752250762E-2</v>
      </c>
      <c r="K1057" s="3" t="str">
        <f t="shared" si="101"/>
        <v>Normal</v>
      </c>
      <c r="L1057" s="4">
        <f>VALUE(A1057)</f>
        <v>42926</v>
      </c>
    </row>
    <row r="1058" spans="1:12">
      <c r="A1058" s="5">
        <v>42927</v>
      </c>
      <c r="B1058" s="3">
        <v>994.13000499999998</v>
      </c>
      <c r="C1058" s="3">
        <v>208.69592299999999</v>
      </c>
      <c r="D1058" s="3">
        <v>2403.0900879999999</v>
      </c>
      <c r="E1058" s="3">
        <v>154.33000200000001</v>
      </c>
      <c r="F1058" s="3">
        <f t="shared" si="96"/>
        <v>2017</v>
      </c>
      <c r="G1058" s="3" t="str">
        <f t="shared" si="97"/>
        <v>Jul</v>
      </c>
      <c r="H1058" s="3" t="str">
        <f t="shared" si="98"/>
        <v>Q3</v>
      </c>
      <c r="I1058" s="3">
        <f t="shared" si="99"/>
        <v>1.2453104662100993E-2</v>
      </c>
      <c r="J1058" s="3">
        <f t="shared" si="100"/>
        <v>-1.6915781560994825E-2</v>
      </c>
      <c r="K1058" s="3" t="str">
        <f t="shared" si="101"/>
        <v>Normal</v>
      </c>
      <c r="L1058" s="4">
        <f>VALUE(A1058)</f>
        <v>42927</v>
      </c>
    </row>
    <row r="1059" spans="1:12">
      <c r="A1059" s="5">
        <v>42928</v>
      </c>
      <c r="B1059" s="3">
        <v>1006.51001</v>
      </c>
      <c r="C1059" s="3">
        <v>210.10287500000001</v>
      </c>
      <c r="D1059" s="3">
        <v>2362.4399410000001</v>
      </c>
      <c r="E1059" s="3">
        <v>158.75</v>
      </c>
      <c r="F1059" s="3">
        <f t="shared" si="96"/>
        <v>2017</v>
      </c>
      <c r="G1059" s="3" t="str">
        <f t="shared" si="97"/>
        <v>Jul</v>
      </c>
      <c r="H1059" s="3" t="str">
        <f t="shared" si="98"/>
        <v>Q3</v>
      </c>
      <c r="I1059" s="3">
        <f t="shared" si="99"/>
        <v>-5.8419736928398587E-3</v>
      </c>
      <c r="J1059" s="3">
        <f t="shared" si="100"/>
        <v>-5.4295568227526868E-2</v>
      </c>
      <c r="K1059" s="3" t="str">
        <f t="shared" si="101"/>
        <v>High Volatility</v>
      </c>
      <c r="L1059" s="4">
        <f>VALUE(A1059)</f>
        <v>42928</v>
      </c>
    </row>
    <row r="1060" spans="1:12">
      <c r="A1060" s="5">
        <v>42929</v>
      </c>
      <c r="B1060" s="3">
        <v>1000.630005</v>
      </c>
      <c r="C1060" s="3">
        <v>207.062622</v>
      </c>
      <c r="D1060" s="3">
        <v>2234.169922</v>
      </c>
      <c r="E1060" s="3">
        <v>158.21000699999999</v>
      </c>
      <c r="F1060" s="3">
        <f t="shared" si="96"/>
        <v>2017</v>
      </c>
      <c r="G1060" s="3" t="str">
        <f t="shared" si="97"/>
        <v>Jul</v>
      </c>
      <c r="H1060" s="3" t="str">
        <f t="shared" si="98"/>
        <v>Q3</v>
      </c>
      <c r="I1060" s="3">
        <f t="shared" si="99"/>
        <v>1.1792500665617834E-3</v>
      </c>
      <c r="J1060" s="3">
        <f t="shared" si="100"/>
        <v>-0.11596699223668092</v>
      </c>
      <c r="K1060" s="3" t="str">
        <f t="shared" si="101"/>
        <v>High Volatility</v>
      </c>
      <c r="L1060" s="4">
        <f>VALUE(A1060)</f>
        <v>42929</v>
      </c>
    </row>
    <row r="1061" spans="1:12">
      <c r="A1061" s="5">
        <v>42930</v>
      </c>
      <c r="B1061" s="3">
        <v>1001.809998</v>
      </c>
      <c r="C1061" s="3">
        <v>205.84259</v>
      </c>
      <c r="D1061" s="3">
        <v>1975.079956</v>
      </c>
      <c r="E1061" s="3">
        <v>161.11999499999999</v>
      </c>
      <c r="F1061" s="3">
        <f t="shared" si="96"/>
        <v>2017</v>
      </c>
      <c r="G1061" s="3" t="str">
        <f t="shared" si="97"/>
        <v>Jul</v>
      </c>
      <c r="H1061" s="3" t="str">
        <f t="shared" si="98"/>
        <v>Q3</v>
      </c>
      <c r="I1061" s="3">
        <f t="shared" si="99"/>
        <v>8.2151106661246046E-3</v>
      </c>
      <c r="J1061" s="3">
        <f t="shared" si="100"/>
        <v>0.17475243113651448</v>
      </c>
      <c r="K1061" s="3" t="str">
        <f t="shared" si="101"/>
        <v>High Volatility</v>
      </c>
      <c r="L1061" s="4">
        <f>VALUE(A1061)</f>
        <v>42930</v>
      </c>
    </row>
    <row r="1062" spans="1:12">
      <c r="A1062" s="5">
        <v>42933</v>
      </c>
      <c r="B1062" s="3">
        <v>1010.039978</v>
      </c>
      <c r="C1062" s="3">
        <v>204.89802599999999</v>
      </c>
      <c r="D1062" s="3">
        <v>2320.2299800000001</v>
      </c>
      <c r="E1062" s="3">
        <v>161.699997</v>
      </c>
      <c r="F1062" s="3">
        <f t="shared" si="96"/>
        <v>2017</v>
      </c>
      <c r="G1062" s="3" t="str">
        <f t="shared" si="97"/>
        <v>Jul</v>
      </c>
      <c r="H1062" s="3" t="str">
        <f t="shared" si="98"/>
        <v>Q3</v>
      </c>
      <c r="I1062" s="3">
        <f t="shared" si="99"/>
        <v>1.4266735291541139E-2</v>
      </c>
      <c r="J1062" s="3">
        <f t="shared" si="100"/>
        <v>-1.6226797483239186E-2</v>
      </c>
      <c r="K1062" s="3" t="str">
        <f t="shared" si="101"/>
        <v>Normal</v>
      </c>
      <c r="L1062" s="4">
        <f>VALUE(A1062)</f>
        <v>42933</v>
      </c>
    </row>
    <row r="1063" spans="1:12">
      <c r="A1063" s="5">
        <v>42934</v>
      </c>
      <c r="B1063" s="3">
        <v>1024.4499510000001</v>
      </c>
      <c r="C1063" s="3">
        <v>208.04650899999999</v>
      </c>
      <c r="D1063" s="3">
        <v>2282.580078</v>
      </c>
      <c r="E1063" s="3">
        <v>183.60000600000001</v>
      </c>
      <c r="F1063" s="3">
        <f t="shared" si="96"/>
        <v>2017</v>
      </c>
      <c r="G1063" s="3" t="str">
        <f t="shared" si="97"/>
        <v>Jul</v>
      </c>
      <c r="H1063" s="3" t="str">
        <f t="shared" si="98"/>
        <v>Q3</v>
      </c>
      <c r="I1063" s="3">
        <f t="shared" si="99"/>
        <v>2.3622862177285239E-3</v>
      </c>
      <c r="J1063" s="3">
        <f t="shared" si="100"/>
        <v>0.25560546489620239</v>
      </c>
      <c r="K1063" s="3" t="str">
        <f t="shared" si="101"/>
        <v>High Volatility</v>
      </c>
      <c r="L1063" s="4">
        <f>VALUE(A1063)</f>
        <v>42934</v>
      </c>
    </row>
    <row r="1064" spans="1:12">
      <c r="A1064" s="5">
        <v>42935</v>
      </c>
      <c r="B1064" s="3">
        <v>1026.869995</v>
      </c>
      <c r="C1064" s="3">
        <v>209.09930399999999</v>
      </c>
      <c r="D1064" s="3">
        <v>2866.0200199999999</v>
      </c>
      <c r="E1064" s="3">
        <v>183.86000100000001</v>
      </c>
      <c r="F1064" s="3">
        <f t="shared" si="96"/>
        <v>2017</v>
      </c>
      <c r="G1064" s="3" t="str">
        <f t="shared" si="97"/>
        <v>Jul</v>
      </c>
      <c r="H1064" s="3" t="str">
        <f t="shared" si="98"/>
        <v>Q3</v>
      </c>
      <c r="I1064" s="3">
        <f t="shared" si="99"/>
        <v>1.7820717412237157E-3</v>
      </c>
      <c r="J1064" s="3">
        <f t="shared" si="100"/>
        <v>-6.6621984727099001E-2</v>
      </c>
      <c r="K1064" s="3" t="str">
        <f t="shared" si="101"/>
        <v>High Volatility</v>
      </c>
      <c r="L1064" s="4">
        <f>VALUE(A1064)</f>
        <v>42935</v>
      </c>
    </row>
    <row r="1065" spans="1:12">
      <c r="A1065" s="5">
        <v>42936</v>
      </c>
      <c r="B1065" s="3">
        <v>1028.6999510000001</v>
      </c>
      <c r="C1065" s="3">
        <v>209.02058400000001</v>
      </c>
      <c r="D1065" s="3">
        <v>2675.080078</v>
      </c>
      <c r="E1065" s="3">
        <v>183.60000600000001</v>
      </c>
      <c r="F1065" s="3">
        <f t="shared" si="96"/>
        <v>2017</v>
      </c>
      <c r="G1065" s="3" t="str">
        <f t="shared" si="97"/>
        <v>Jul</v>
      </c>
      <c r="H1065" s="3" t="str">
        <f t="shared" si="98"/>
        <v>Q3</v>
      </c>
      <c r="I1065" s="3">
        <f t="shared" si="99"/>
        <v>-2.9453748851205044E-3</v>
      </c>
      <c r="J1065" s="3">
        <f t="shared" si="100"/>
        <v>6.0353315150366148E-2</v>
      </c>
      <c r="K1065" s="3" t="str">
        <f t="shared" si="101"/>
        <v>High Volatility</v>
      </c>
      <c r="L1065" s="4">
        <f>VALUE(A1065)</f>
        <v>42936</v>
      </c>
    </row>
    <row r="1066" spans="1:12">
      <c r="A1066" s="5">
        <v>42937</v>
      </c>
      <c r="B1066" s="3">
        <v>1025.670044</v>
      </c>
      <c r="C1066" s="3">
        <v>209.78804</v>
      </c>
      <c r="D1066" s="3">
        <v>2836.530029</v>
      </c>
      <c r="E1066" s="3">
        <v>188.53999300000001</v>
      </c>
      <c r="F1066" s="3">
        <f t="shared" si="96"/>
        <v>2017</v>
      </c>
      <c r="G1066" s="3" t="str">
        <f t="shared" si="97"/>
        <v>Jul</v>
      </c>
      <c r="H1066" s="3" t="str">
        <f t="shared" si="98"/>
        <v>Q3</v>
      </c>
      <c r="I1066" s="3">
        <f t="shared" si="99"/>
        <v>1.2947543001460705E-2</v>
      </c>
      <c r="J1066" s="3">
        <f t="shared" si="100"/>
        <v>-8.9528384471053338E-2</v>
      </c>
      <c r="K1066" s="3" t="str">
        <f t="shared" si="101"/>
        <v>High Volatility</v>
      </c>
      <c r="L1066" s="4">
        <f>VALUE(A1066)</f>
        <v>42937</v>
      </c>
    </row>
    <row r="1067" spans="1:12">
      <c r="A1067" s="5">
        <v>42940</v>
      </c>
      <c r="B1067" s="3">
        <v>1038.9499510000001</v>
      </c>
      <c r="C1067" s="3">
        <v>210.52595500000001</v>
      </c>
      <c r="D1067" s="3">
        <v>2582.580078</v>
      </c>
      <c r="E1067" s="3">
        <v>187.91000399999999</v>
      </c>
      <c r="F1067" s="3">
        <f t="shared" si="96"/>
        <v>2017</v>
      </c>
      <c r="G1067" s="3" t="str">
        <f t="shared" si="97"/>
        <v>Jul</v>
      </c>
      <c r="H1067" s="3" t="str">
        <f t="shared" si="98"/>
        <v>Q3</v>
      </c>
      <c r="I1067" s="3">
        <f t="shared" si="99"/>
        <v>8.8555180075268285E-4</v>
      </c>
      <c r="J1067" s="3">
        <f t="shared" si="100"/>
        <v>-9.0491354746677233E-3</v>
      </c>
      <c r="K1067" s="3" t="str">
        <f t="shared" si="101"/>
        <v>Normal</v>
      </c>
      <c r="L1067" s="4">
        <f>VALUE(A1067)</f>
        <v>42940</v>
      </c>
    </row>
    <row r="1068" spans="1:12">
      <c r="A1068" s="5">
        <v>42941</v>
      </c>
      <c r="B1068" s="3">
        <v>1039.869995</v>
      </c>
      <c r="C1068" s="3">
        <v>189.303146</v>
      </c>
      <c r="D1068" s="3">
        <v>2559.209961</v>
      </c>
      <c r="E1068" s="3">
        <v>186.970001</v>
      </c>
      <c r="F1068" s="3">
        <f t="shared" si="96"/>
        <v>2017</v>
      </c>
      <c r="G1068" s="3" t="str">
        <f t="shared" si="97"/>
        <v>Jul</v>
      </c>
      <c r="H1068" s="3" t="str">
        <f t="shared" si="98"/>
        <v>Q3</v>
      </c>
      <c r="I1068" s="3">
        <f t="shared" si="99"/>
        <v>1.2434298577871676E-2</v>
      </c>
      <c r="J1068" s="3">
        <f t="shared" si="100"/>
        <v>5.1840186628595276E-2</v>
      </c>
      <c r="K1068" s="3" t="str">
        <f t="shared" si="101"/>
        <v>High Volatility</v>
      </c>
      <c r="L1068" s="4">
        <f>VALUE(A1068)</f>
        <v>42941</v>
      </c>
    </row>
    <row r="1069" spans="1:12">
      <c r="A1069" s="5">
        <v>42942</v>
      </c>
      <c r="B1069" s="3">
        <v>1052.8000489999999</v>
      </c>
      <c r="C1069" s="3">
        <v>183.429214</v>
      </c>
      <c r="D1069" s="3">
        <v>2691.8798830000001</v>
      </c>
      <c r="E1069" s="3">
        <v>189.08000200000001</v>
      </c>
      <c r="F1069" s="3">
        <f t="shared" si="96"/>
        <v>2017</v>
      </c>
      <c r="G1069" s="3" t="str">
        <f t="shared" si="97"/>
        <v>Jul</v>
      </c>
      <c r="H1069" s="3" t="str">
        <f t="shared" si="98"/>
        <v>Q3</v>
      </c>
      <c r="I1069" s="3">
        <f t="shared" si="99"/>
        <v>-6.4590128072837356E-3</v>
      </c>
      <c r="J1069" s="3">
        <f t="shared" si="100"/>
        <v>4.2672824194511037E-2</v>
      </c>
      <c r="K1069" s="3" t="str">
        <f t="shared" si="101"/>
        <v>Normal</v>
      </c>
      <c r="L1069" s="4">
        <f>VALUE(A1069)</f>
        <v>42942</v>
      </c>
    </row>
    <row r="1070" spans="1:12">
      <c r="A1070" s="5">
        <v>42943</v>
      </c>
      <c r="B1070" s="3">
        <v>1046</v>
      </c>
      <c r="C1070" s="3">
        <v>179.493607</v>
      </c>
      <c r="D1070" s="3">
        <v>2806.75</v>
      </c>
      <c r="E1070" s="3">
        <v>182.679993</v>
      </c>
      <c r="F1070" s="3">
        <f t="shared" si="96"/>
        <v>2017</v>
      </c>
      <c r="G1070" s="3" t="str">
        <f t="shared" si="97"/>
        <v>Jul</v>
      </c>
      <c r="H1070" s="3" t="str">
        <f t="shared" si="98"/>
        <v>Q3</v>
      </c>
      <c r="I1070" s="3">
        <f t="shared" si="99"/>
        <v>-2.4818376673040134E-2</v>
      </c>
      <c r="J1070" s="3">
        <f t="shared" si="100"/>
        <v>-2.6097799946557407E-2</v>
      </c>
      <c r="K1070" s="3" t="str">
        <f t="shared" si="101"/>
        <v>Normal</v>
      </c>
      <c r="L1070" s="4">
        <f>VALUE(A1070)</f>
        <v>42943</v>
      </c>
    </row>
    <row r="1071" spans="1:12">
      <c r="A1071" s="5">
        <v>42944</v>
      </c>
      <c r="B1071" s="3">
        <v>1020.039978</v>
      </c>
      <c r="C1071" s="3">
        <v>180.14300499999999</v>
      </c>
      <c r="D1071" s="3">
        <v>2733.5</v>
      </c>
      <c r="E1071" s="3">
        <v>184.03999300000001</v>
      </c>
      <c r="F1071" s="3">
        <f t="shared" si="96"/>
        <v>2017</v>
      </c>
      <c r="G1071" s="3" t="str">
        <f t="shared" si="97"/>
        <v>Jul</v>
      </c>
      <c r="H1071" s="3" t="str">
        <f t="shared" si="98"/>
        <v>Q3</v>
      </c>
      <c r="I1071" s="3">
        <f t="shared" si="99"/>
        <v>-3.1626161420900703E-2</v>
      </c>
      <c r="J1071" s="3">
        <f t="shared" si="100"/>
        <v>4.9350612767514301E-3</v>
      </c>
      <c r="K1071" s="3" t="str">
        <f t="shared" si="101"/>
        <v>Normal</v>
      </c>
      <c r="L1071" s="4">
        <f>VALUE(A1071)</f>
        <v>42944</v>
      </c>
    </row>
    <row r="1072" spans="1:12">
      <c r="A1072" s="5">
        <v>42947</v>
      </c>
      <c r="B1072" s="3">
        <v>987.78002900000001</v>
      </c>
      <c r="C1072" s="3">
        <v>183.498108</v>
      </c>
      <c r="D1072" s="3">
        <v>2746.98999</v>
      </c>
      <c r="E1072" s="3">
        <v>181.66000399999999</v>
      </c>
      <c r="F1072" s="3">
        <f t="shared" si="96"/>
        <v>2017</v>
      </c>
      <c r="G1072" s="3" t="str">
        <f t="shared" si="97"/>
        <v>Jul</v>
      </c>
      <c r="H1072" s="3" t="str">
        <f t="shared" si="98"/>
        <v>Q3</v>
      </c>
      <c r="I1072" s="3">
        <f t="shared" si="99"/>
        <v>8.5140140042252628E-3</v>
      </c>
      <c r="J1072" s="3">
        <f t="shared" si="100"/>
        <v>-9.6323470767361707E-3</v>
      </c>
      <c r="K1072" s="3" t="str">
        <f t="shared" si="101"/>
        <v>Normal</v>
      </c>
      <c r="L1072" s="4">
        <f>VALUE(A1072)</f>
        <v>42947</v>
      </c>
    </row>
    <row r="1073" spans="1:12">
      <c r="A1073" s="5">
        <v>42948</v>
      </c>
      <c r="B1073" s="3">
        <v>996.19000200000005</v>
      </c>
      <c r="C1073" s="3">
        <v>183.448914</v>
      </c>
      <c r="D1073" s="3">
        <v>2720.530029</v>
      </c>
      <c r="E1073" s="3">
        <v>182.029999</v>
      </c>
      <c r="F1073" s="3">
        <f t="shared" si="96"/>
        <v>2017</v>
      </c>
      <c r="G1073" s="3" t="str">
        <f t="shared" si="97"/>
        <v>Aug</v>
      </c>
      <c r="H1073" s="3" t="str">
        <f t="shared" si="98"/>
        <v>Q3</v>
      </c>
      <c r="I1073" s="3">
        <f t="shared" si="99"/>
        <v>-3.0113432116145756E-4</v>
      </c>
      <c r="J1073" s="3">
        <f t="shared" si="100"/>
        <v>3.2883283788961999E-2</v>
      </c>
      <c r="K1073" s="3" t="str">
        <f t="shared" si="101"/>
        <v>Normal</v>
      </c>
      <c r="L1073" s="4">
        <f>VALUE(A1073)</f>
        <v>42948</v>
      </c>
    </row>
    <row r="1074" spans="1:12">
      <c r="A1074" s="5">
        <v>42949</v>
      </c>
      <c r="B1074" s="3">
        <v>995.89001499999995</v>
      </c>
      <c r="C1074" s="3">
        <v>189.25393700000001</v>
      </c>
      <c r="D1074" s="3">
        <v>2809.98999</v>
      </c>
      <c r="E1074" s="3">
        <v>180.740005</v>
      </c>
      <c r="F1074" s="3">
        <f t="shared" si="96"/>
        <v>2017</v>
      </c>
      <c r="G1074" s="3" t="str">
        <f t="shared" si="97"/>
        <v>Aug</v>
      </c>
      <c r="H1074" s="3" t="str">
        <f t="shared" si="98"/>
        <v>Q3</v>
      </c>
      <c r="I1074" s="3">
        <f t="shared" si="99"/>
        <v>-9.0070508438624582E-3</v>
      </c>
      <c r="J1074" s="3">
        <f t="shared" si="100"/>
        <v>2.4377311038036829E-2</v>
      </c>
      <c r="K1074" s="3" t="str">
        <f t="shared" si="101"/>
        <v>Normal</v>
      </c>
      <c r="L1074" s="4">
        <f>VALUE(A1074)</f>
        <v>42949</v>
      </c>
    </row>
    <row r="1075" spans="1:12">
      <c r="A1075" s="5">
        <v>42950</v>
      </c>
      <c r="B1075" s="3">
        <v>986.919983</v>
      </c>
      <c r="C1075" s="3">
        <v>195.039322</v>
      </c>
      <c r="D1075" s="3">
        <v>2878.48999</v>
      </c>
      <c r="E1075" s="3">
        <v>179.229996</v>
      </c>
      <c r="F1075" s="3">
        <f t="shared" si="96"/>
        <v>2017</v>
      </c>
      <c r="G1075" s="3" t="str">
        <f t="shared" si="97"/>
        <v>Aug</v>
      </c>
      <c r="H1075" s="3" t="str">
        <f t="shared" si="98"/>
        <v>Q3</v>
      </c>
      <c r="I1075" s="3">
        <f t="shared" si="99"/>
        <v>6.6878167568727406E-4</v>
      </c>
      <c r="J1075" s="3">
        <f t="shared" si="100"/>
        <v>0.13351099372765229</v>
      </c>
      <c r="K1075" s="3" t="str">
        <f t="shared" si="101"/>
        <v>High Volatility</v>
      </c>
      <c r="L1075" s="4">
        <f>VALUE(A1075)</f>
        <v>42950</v>
      </c>
    </row>
    <row r="1076" spans="1:12">
      <c r="A1076" s="5">
        <v>42951</v>
      </c>
      <c r="B1076" s="3">
        <v>987.580017</v>
      </c>
      <c r="C1076" s="3">
        <v>193.62249800000001</v>
      </c>
      <c r="D1076" s="3">
        <v>3262.8000489999999</v>
      </c>
      <c r="E1076" s="3">
        <v>180.270004</v>
      </c>
      <c r="F1076" s="3">
        <f t="shared" si="96"/>
        <v>2017</v>
      </c>
      <c r="G1076" s="3" t="str">
        <f t="shared" si="97"/>
        <v>Aug</v>
      </c>
      <c r="H1076" s="3" t="str">
        <f t="shared" si="98"/>
        <v>Q3</v>
      </c>
      <c r="I1076" s="3">
        <f t="shared" si="99"/>
        <v>4.7489853169032344E-3</v>
      </c>
      <c r="J1076" s="3">
        <f t="shared" si="100"/>
        <v>5.1054257539028286E-2</v>
      </c>
      <c r="K1076" s="3" t="str">
        <f t="shared" si="101"/>
        <v>High Volatility</v>
      </c>
      <c r="L1076" s="4">
        <f>VALUE(A1076)</f>
        <v>42951</v>
      </c>
    </row>
    <row r="1077" spans="1:12">
      <c r="A1077" s="5">
        <v>42954</v>
      </c>
      <c r="B1077" s="3">
        <v>992.27002000000005</v>
      </c>
      <c r="C1077" s="3">
        <v>192.284378</v>
      </c>
      <c r="D1077" s="3">
        <v>3429.3798830000001</v>
      </c>
      <c r="E1077" s="3">
        <v>181.33000200000001</v>
      </c>
      <c r="F1077" s="3">
        <f t="shared" si="96"/>
        <v>2017</v>
      </c>
      <c r="G1077" s="3" t="str">
        <f t="shared" si="97"/>
        <v>Aug</v>
      </c>
      <c r="H1077" s="3" t="str">
        <f t="shared" si="98"/>
        <v>Q3</v>
      </c>
      <c r="I1077" s="3">
        <f t="shared" si="99"/>
        <v>-2.4489231267917186E-3</v>
      </c>
      <c r="J1077" s="3">
        <f t="shared" si="100"/>
        <v>-2.3499829925374319E-2</v>
      </c>
      <c r="K1077" s="3" t="str">
        <f t="shared" si="101"/>
        <v>Normal</v>
      </c>
      <c r="L1077" s="4">
        <f>VALUE(A1077)</f>
        <v>42954</v>
      </c>
    </row>
    <row r="1078" spans="1:12">
      <c r="A1078" s="5">
        <v>42955</v>
      </c>
      <c r="B1078" s="3">
        <v>989.84002699999996</v>
      </c>
      <c r="C1078" s="3">
        <v>189.04733300000001</v>
      </c>
      <c r="D1078" s="3">
        <v>3348.790039</v>
      </c>
      <c r="E1078" s="3">
        <v>178.36000100000001</v>
      </c>
      <c r="F1078" s="3">
        <f t="shared" si="96"/>
        <v>2017</v>
      </c>
      <c r="G1078" s="3" t="str">
        <f t="shared" si="97"/>
        <v>Aug</v>
      </c>
      <c r="H1078" s="3" t="str">
        <f t="shared" si="98"/>
        <v>Q3</v>
      </c>
      <c r="I1078" s="3">
        <f t="shared" si="99"/>
        <v>-7.9103863113428111E-3</v>
      </c>
      <c r="J1078" s="3">
        <f t="shared" si="100"/>
        <v>2.2957510654492263E-2</v>
      </c>
      <c r="K1078" s="3" t="str">
        <f t="shared" si="101"/>
        <v>Normal</v>
      </c>
      <c r="L1078" s="4">
        <f>VALUE(A1078)</f>
        <v>42955</v>
      </c>
    </row>
    <row r="1079" spans="1:12">
      <c r="A1079" s="5">
        <v>42956</v>
      </c>
      <c r="B1079" s="3">
        <v>982.01000999999997</v>
      </c>
      <c r="C1079" s="3">
        <v>190.71012899999999</v>
      </c>
      <c r="D1079" s="3">
        <v>3425.669922</v>
      </c>
      <c r="E1079" s="3">
        <v>175.779999</v>
      </c>
      <c r="F1079" s="3">
        <f t="shared" si="96"/>
        <v>2017</v>
      </c>
      <c r="G1079" s="3" t="str">
        <f t="shared" si="97"/>
        <v>Aug</v>
      </c>
      <c r="H1079" s="3" t="str">
        <f t="shared" si="98"/>
        <v>Q3</v>
      </c>
      <c r="I1079" s="3">
        <f t="shared" si="99"/>
        <v>-2.5549665221844292E-2</v>
      </c>
      <c r="J1079" s="3">
        <f t="shared" si="100"/>
        <v>6.6760721320890851E-2</v>
      </c>
      <c r="K1079" s="3" t="str">
        <f t="shared" si="101"/>
        <v>High Volatility</v>
      </c>
      <c r="L1079" s="4">
        <f>VALUE(A1079)</f>
        <v>42956</v>
      </c>
    </row>
    <row r="1080" spans="1:12">
      <c r="A1080" s="5">
        <v>42957</v>
      </c>
      <c r="B1080" s="3">
        <v>956.919983</v>
      </c>
      <c r="C1080" s="3">
        <v>189.431061</v>
      </c>
      <c r="D1080" s="3">
        <v>3654.3701169999999</v>
      </c>
      <c r="E1080" s="3">
        <v>169.13999899999999</v>
      </c>
      <c r="F1080" s="3">
        <f t="shared" si="96"/>
        <v>2017</v>
      </c>
      <c r="G1080" s="3" t="str">
        <f t="shared" si="97"/>
        <v>Aug</v>
      </c>
      <c r="H1080" s="3" t="str">
        <f t="shared" si="98"/>
        <v>Q3</v>
      </c>
      <c r="I1080" s="3">
        <f t="shared" si="99"/>
        <v>1.156837269224425E-2</v>
      </c>
      <c r="J1080" s="3">
        <f t="shared" si="100"/>
        <v>5.944936967094841E-2</v>
      </c>
      <c r="K1080" s="3" t="str">
        <f t="shared" si="101"/>
        <v>High Volatility</v>
      </c>
      <c r="L1080" s="4">
        <f>VALUE(A1080)</f>
        <v>42957</v>
      </c>
    </row>
    <row r="1081" spans="1:12">
      <c r="A1081" s="5">
        <v>42958</v>
      </c>
      <c r="B1081" s="3">
        <v>967.98999000000003</v>
      </c>
      <c r="C1081" s="3">
        <v>189.755753</v>
      </c>
      <c r="D1081" s="3">
        <v>3871.6201169999999</v>
      </c>
      <c r="E1081" s="3">
        <v>171.39999399999999</v>
      </c>
      <c r="F1081" s="3">
        <f t="shared" si="96"/>
        <v>2017</v>
      </c>
      <c r="G1081" s="3" t="str">
        <f t="shared" si="97"/>
        <v>Aug</v>
      </c>
      <c r="H1081" s="3" t="str">
        <f t="shared" si="98"/>
        <v>Q3</v>
      </c>
      <c r="I1081" s="3">
        <f t="shared" si="99"/>
        <v>1.5816277191048174E-2</v>
      </c>
      <c r="J1081" s="3">
        <f t="shared" si="100"/>
        <v>7.4914384736884554E-2</v>
      </c>
      <c r="K1081" s="3" t="str">
        <f t="shared" si="101"/>
        <v>High Volatility</v>
      </c>
      <c r="L1081" s="4">
        <f>VALUE(A1081)</f>
        <v>42958</v>
      </c>
    </row>
    <row r="1082" spans="1:12">
      <c r="A1082" s="5">
        <v>42961</v>
      </c>
      <c r="B1082" s="3">
        <v>983.29998799999998</v>
      </c>
      <c r="C1082" s="3">
        <v>190.78883400000001</v>
      </c>
      <c r="D1082" s="3">
        <v>4161.6601559999999</v>
      </c>
      <c r="E1082" s="3">
        <v>171</v>
      </c>
      <c r="F1082" s="3">
        <f t="shared" si="96"/>
        <v>2017</v>
      </c>
      <c r="G1082" s="3" t="str">
        <f t="shared" si="97"/>
        <v>Aug</v>
      </c>
      <c r="H1082" s="3" t="str">
        <f t="shared" si="98"/>
        <v>Q3</v>
      </c>
      <c r="I1082" s="3">
        <f t="shared" si="99"/>
        <v>-5.6950880385849294E-4</v>
      </c>
      <c r="J1082" s="3">
        <f t="shared" si="100"/>
        <v>5.4242715055563565E-2</v>
      </c>
      <c r="K1082" s="3" t="str">
        <f t="shared" si="101"/>
        <v>High Volatility</v>
      </c>
      <c r="L1082" s="4">
        <f>VALUE(A1082)</f>
        <v>42961</v>
      </c>
    </row>
    <row r="1083" spans="1:12">
      <c r="A1083" s="5">
        <v>42962</v>
      </c>
      <c r="B1083" s="3">
        <v>982.73999000000003</v>
      </c>
      <c r="C1083" s="3">
        <v>185.14125100000001</v>
      </c>
      <c r="D1083" s="3">
        <v>4387.3999020000001</v>
      </c>
      <c r="E1083" s="3">
        <v>168.5</v>
      </c>
      <c r="F1083" s="3">
        <f t="shared" si="96"/>
        <v>2017</v>
      </c>
      <c r="G1083" s="3" t="str">
        <f t="shared" si="97"/>
        <v>Aug</v>
      </c>
      <c r="H1083" s="3" t="str">
        <f t="shared" si="98"/>
        <v>Q3</v>
      </c>
      <c r="I1083" s="3">
        <f t="shared" si="99"/>
        <v>-4.6400849119817202E-3</v>
      </c>
      <c r="J1083" s="3">
        <f t="shared" si="100"/>
        <v>-2.4725345859297979E-2</v>
      </c>
      <c r="K1083" s="3" t="str">
        <f t="shared" si="101"/>
        <v>Normal</v>
      </c>
      <c r="L1083" s="4">
        <f>VALUE(A1083)</f>
        <v>42962</v>
      </c>
    </row>
    <row r="1084" spans="1:12">
      <c r="A1084" s="5">
        <v>42963</v>
      </c>
      <c r="B1084" s="3">
        <v>978.17999299999997</v>
      </c>
      <c r="C1084" s="3">
        <v>184.649292</v>
      </c>
      <c r="D1084" s="3">
        <v>4278.919922</v>
      </c>
      <c r="E1084" s="3">
        <v>169.979996</v>
      </c>
      <c r="F1084" s="3">
        <f t="shared" si="96"/>
        <v>2017</v>
      </c>
      <c r="G1084" s="3" t="str">
        <f t="shared" si="97"/>
        <v>Aug</v>
      </c>
      <c r="H1084" s="3" t="str">
        <f t="shared" si="98"/>
        <v>Q3</v>
      </c>
      <c r="I1084" s="3">
        <f t="shared" si="99"/>
        <v>-1.8002807383119251E-2</v>
      </c>
      <c r="J1084" s="3">
        <f t="shared" si="100"/>
        <v>-4.0559255177386247E-2</v>
      </c>
      <c r="K1084" s="3" t="str">
        <f t="shared" si="101"/>
        <v>Normal</v>
      </c>
      <c r="L1084" s="4">
        <f>VALUE(A1084)</f>
        <v>42963</v>
      </c>
    </row>
    <row r="1085" spans="1:12">
      <c r="A1085" s="5">
        <v>42964</v>
      </c>
      <c r="B1085" s="3">
        <v>960.57000700000003</v>
      </c>
      <c r="C1085" s="3">
        <v>185.22979699999999</v>
      </c>
      <c r="D1085" s="3">
        <v>4105.3701170000004</v>
      </c>
      <c r="E1085" s="3">
        <v>166.08999600000001</v>
      </c>
      <c r="F1085" s="3">
        <f t="shared" si="96"/>
        <v>2017</v>
      </c>
      <c r="G1085" s="3" t="str">
        <f t="shared" si="97"/>
        <v>Aug</v>
      </c>
      <c r="H1085" s="3" t="str">
        <f t="shared" si="98"/>
        <v>Q3</v>
      </c>
      <c r="I1085" s="3">
        <f t="shared" si="99"/>
        <v>-2.1862394044123486E-3</v>
      </c>
      <c r="J1085" s="3">
        <f t="shared" si="100"/>
        <v>1.0980758546793883E-2</v>
      </c>
      <c r="K1085" s="3" t="str">
        <f t="shared" si="101"/>
        <v>Normal</v>
      </c>
      <c r="L1085" s="4">
        <f>VALUE(A1085)</f>
        <v>42964</v>
      </c>
    </row>
    <row r="1086" spans="1:12">
      <c r="A1086" s="5">
        <v>42965</v>
      </c>
      <c r="B1086" s="3">
        <v>958.46997099999999</v>
      </c>
      <c r="C1086" s="3">
        <v>185.62335200000001</v>
      </c>
      <c r="D1086" s="3">
        <v>4150.4501950000003</v>
      </c>
      <c r="E1086" s="3">
        <v>166.53999300000001</v>
      </c>
      <c r="F1086" s="3">
        <f t="shared" si="96"/>
        <v>2017</v>
      </c>
      <c r="G1086" s="3" t="str">
        <f t="shared" si="97"/>
        <v>Aug</v>
      </c>
      <c r="H1086" s="3" t="str">
        <f t="shared" si="98"/>
        <v>Q3</v>
      </c>
      <c r="I1086" s="3">
        <f t="shared" si="99"/>
        <v>-5.4044395304273622E-3</v>
      </c>
      <c r="J1086" s="3">
        <f t="shared" si="100"/>
        <v>-1.4637025176976081E-2</v>
      </c>
      <c r="K1086" s="3" t="str">
        <f t="shared" si="101"/>
        <v>Normal</v>
      </c>
      <c r="L1086" s="4">
        <f>VALUE(A1086)</f>
        <v>42965</v>
      </c>
    </row>
    <row r="1087" spans="1:12">
      <c r="A1087" s="5">
        <v>42968</v>
      </c>
      <c r="B1087" s="3">
        <v>953.28997800000002</v>
      </c>
      <c r="C1087" s="3">
        <v>186.430115</v>
      </c>
      <c r="D1087" s="3">
        <v>4089.6999510000001</v>
      </c>
      <c r="E1087" s="3">
        <v>166.759995</v>
      </c>
      <c r="F1087" s="3">
        <f t="shared" si="96"/>
        <v>2017</v>
      </c>
      <c r="G1087" s="3" t="str">
        <f t="shared" si="97"/>
        <v>Aug</v>
      </c>
      <c r="H1087" s="3" t="str">
        <f t="shared" si="98"/>
        <v>Q3</v>
      </c>
      <c r="I1087" s="3">
        <f t="shared" si="99"/>
        <v>1.4276921308408018E-2</v>
      </c>
      <c r="J1087" s="3">
        <f t="shared" si="100"/>
        <v>1.2565687853808039E-2</v>
      </c>
      <c r="K1087" s="3" t="str">
        <f t="shared" si="101"/>
        <v>Normal</v>
      </c>
      <c r="L1087" s="4">
        <f>VALUE(A1087)</f>
        <v>42968</v>
      </c>
    </row>
    <row r="1088" spans="1:12">
      <c r="A1088" s="5">
        <v>42969</v>
      </c>
      <c r="B1088" s="3">
        <v>966.90002400000003</v>
      </c>
      <c r="C1088" s="3">
        <v>185.96771200000001</v>
      </c>
      <c r="D1088" s="3">
        <v>4141.0898440000001</v>
      </c>
      <c r="E1088" s="3">
        <v>169.33999600000001</v>
      </c>
      <c r="F1088" s="3">
        <f t="shared" si="96"/>
        <v>2017</v>
      </c>
      <c r="G1088" s="3" t="str">
        <f t="shared" si="97"/>
        <v>Aug</v>
      </c>
      <c r="H1088" s="3" t="str">
        <f t="shared" si="98"/>
        <v>Q3</v>
      </c>
      <c r="I1088" s="3">
        <f t="shared" si="99"/>
        <v>-9.2046993268044743E-3</v>
      </c>
      <c r="J1088" s="3">
        <f t="shared" si="100"/>
        <v>4.2805218113495198E-2</v>
      </c>
      <c r="K1088" s="3" t="str">
        <f t="shared" si="101"/>
        <v>Normal</v>
      </c>
      <c r="L1088" s="4">
        <f>VALUE(A1088)</f>
        <v>42969</v>
      </c>
    </row>
    <row r="1089" spans="1:12">
      <c r="A1089" s="5">
        <v>42970</v>
      </c>
      <c r="B1089" s="3">
        <v>958</v>
      </c>
      <c r="C1089" s="3">
        <v>184.66897599999999</v>
      </c>
      <c r="D1089" s="3">
        <v>4318.3500979999999</v>
      </c>
      <c r="E1089" s="3">
        <v>169.05999800000001</v>
      </c>
      <c r="F1089" s="3">
        <f t="shared" si="96"/>
        <v>2017</v>
      </c>
      <c r="G1089" s="3" t="str">
        <f t="shared" si="97"/>
        <v>Aug</v>
      </c>
      <c r="H1089" s="3" t="str">
        <f t="shared" si="98"/>
        <v>Q3</v>
      </c>
      <c r="I1089" s="3">
        <f t="shared" si="99"/>
        <v>-5.7933068893528021E-3</v>
      </c>
      <c r="J1089" s="3">
        <f t="shared" si="100"/>
        <v>1.0666124087839074E-2</v>
      </c>
      <c r="K1089" s="3" t="str">
        <f t="shared" si="101"/>
        <v>Normal</v>
      </c>
      <c r="L1089" s="4">
        <f>VALUE(A1089)</f>
        <v>42970</v>
      </c>
    </row>
    <row r="1090" spans="1:12">
      <c r="A1090" s="5">
        <v>42971</v>
      </c>
      <c r="B1090" s="3">
        <v>952.45001200000002</v>
      </c>
      <c r="C1090" s="3">
        <v>180.349625</v>
      </c>
      <c r="D1090" s="3">
        <v>4364.4101559999999</v>
      </c>
      <c r="E1090" s="3">
        <v>168.13000500000001</v>
      </c>
      <c r="F1090" s="3">
        <f t="shared" si="96"/>
        <v>2017</v>
      </c>
      <c r="G1090" s="3" t="str">
        <f t="shared" si="97"/>
        <v>Aug</v>
      </c>
      <c r="H1090" s="3" t="str">
        <f t="shared" si="98"/>
        <v>Q3</v>
      </c>
      <c r="I1090" s="3">
        <f t="shared" si="99"/>
        <v>-7.5489547056670613E-3</v>
      </c>
      <c r="J1090" s="3">
        <f t="shared" si="100"/>
        <v>-2.7747967232986761E-3</v>
      </c>
      <c r="K1090" s="3" t="str">
        <f t="shared" si="101"/>
        <v>Normal</v>
      </c>
      <c r="L1090" s="4">
        <f>VALUE(A1090)</f>
        <v>42971</v>
      </c>
    </row>
    <row r="1091" spans="1:12">
      <c r="A1091" s="5">
        <v>42972</v>
      </c>
      <c r="B1091" s="3">
        <v>945.26000999999997</v>
      </c>
      <c r="C1091" s="3">
        <v>175.853195</v>
      </c>
      <c r="D1091" s="3">
        <v>4352.2998049999997</v>
      </c>
      <c r="E1091" s="3">
        <v>165.949997</v>
      </c>
      <c r="F1091" s="3">
        <f t="shared" ref="F1091:F1154" si="102">YEAR(A1091)</f>
        <v>2017</v>
      </c>
      <c r="G1091" s="3" t="str">
        <f t="shared" ref="G1091:G1154" si="103">TEXT(A1091,"MMM")</f>
        <v>Aug</v>
      </c>
      <c r="H1091" s="3" t="str">
        <f t="shared" ref="H1091:H1154" si="104">"Q"&amp;ROUNDUP(MONTH(A1091)/3,0)</f>
        <v>Q3</v>
      </c>
      <c r="I1091" s="3">
        <f t="shared" ref="I1091:I1154" si="105">(B1092-B1091)/B1091</f>
        <v>8.0402216528770675E-4</v>
      </c>
      <c r="J1091" s="3">
        <f t="shared" ref="J1091:J1154" si="106">(D1092-D1091)/D1091</f>
        <v>5.6294433972248092E-2</v>
      </c>
      <c r="K1091" s="3" t="str">
        <f t="shared" ref="K1091:K1154" si="107">IF(J1091="","",IF(ABS(J1091)&gt;0.05,"High Volatility","Normal"))</f>
        <v>High Volatility</v>
      </c>
      <c r="L1091" s="4">
        <f>VALUE(A1091)</f>
        <v>42972</v>
      </c>
    </row>
    <row r="1092" spans="1:12">
      <c r="A1092" s="5">
        <v>42975</v>
      </c>
      <c r="B1092" s="3">
        <v>946.02002000000005</v>
      </c>
      <c r="C1092" s="3">
        <v>175.88270600000001</v>
      </c>
      <c r="D1092" s="3">
        <v>4597.3100590000004</v>
      </c>
      <c r="E1092" s="3">
        <v>167.11999499999999</v>
      </c>
      <c r="F1092" s="3">
        <f t="shared" si="102"/>
        <v>2017</v>
      </c>
      <c r="G1092" s="3" t="str">
        <f t="shared" si="103"/>
        <v>Aug</v>
      </c>
      <c r="H1092" s="3" t="str">
        <f t="shared" si="104"/>
        <v>Q3</v>
      </c>
      <c r="I1092" s="3">
        <f t="shared" si="105"/>
        <v>8.498739804681835E-3</v>
      </c>
      <c r="J1092" s="3">
        <f t="shared" si="106"/>
        <v>-3.1083478853085626E-3</v>
      </c>
      <c r="K1092" s="3" t="str">
        <f t="shared" si="107"/>
        <v>Normal</v>
      </c>
      <c r="L1092" s="4">
        <f>VALUE(A1092)</f>
        <v>42975</v>
      </c>
    </row>
    <row r="1093" spans="1:12">
      <c r="A1093" s="5">
        <v>42976</v>
      </c>
      <c r="B1093" s="3">
        <v>954.05999799999995</v>
      </c>
      <c r="C1093" s="3">
        <v>175.508835</v>
      </c>
      <c r="D1093" s="3">
        <v>4583.0200199999999</v>
      </c>
      <c r="E1093" s="3">
        <v>168.80999800000001</v>
      </c>
      <c r="F1093" s="3">
        <f t="shared" si="102"/>
        <v>2017</v>
      </c>
      <c r="G1093" s="3" t="str">
        <f t="shared" si="103"/>
        <v>Aug</v>
      </c>
      <c r="H1093" s="3" t="str">
        <f t="shared" si="104"/>
        <v>Q3</v>
      </c>
      <c r="I1093" s="3">
        <f t="shared" si="105"/>
        <v>1.4181528445132456E-2</v>
      </c>
      <c r="J1093" s="3">
        <f t="shared" si="106"/>
        <v>3.3185507009851498E-2</v>
      </c>
      <c r="K1093" s="3" t="str">
        <f t="shared" si="107"/>
        <v>Normal</v>
      </c>
      <c r="L1093" s="4">
        <f>VALUE(A1093)</f>
        <v>42976</v>
      </c>
    </row>
    <row r="1094" spans="1:12">
      <c r="A1094" s="5">
        <v>42977</v>
      </c>
      <c r="B1094" s="3">
        <v>967.59002699999996</v>
      </c>
      <c r="C1094" s="3">
        <v>176.04994199999999</v>
      </c>
      <c r="D1094" s="3">
        <v>4735.1098629999997</v>
      </c>
      <c r="E1094" s="3">
        <v>174.69000199999999</v>
      </c>
      <c r="F1094" s="3">
        <f t="shared" si="102"/>
        <v>2017</v>
      </c>
      <c r="G1094" s="3" t="str">
        <f t="shared" si="103"/>
        <v>Aug</v>
      </c>
      <c r="H1094" s="3" t="str">
        <f t="shared" si="104"/>
        <v>Q3</v>
      </c>
      <c r="I1094" s="3">
        <f t="shared" si="105"/>
        <v>1.3445724570288493E-2</v>
      </c>
      <c r="J1094" s="3">
        <f t="shared" si="106"/>
        <v>3.9437360568797479E-2</v>
      </c>
      <c r="K1094" s="3" t="str">
        <f t="shared" si="107"/>
        <v>Normal</v>
      </c>
      <c r="L1094" s="4">
        <f>VALUE(A1094)</f>
        <v>42977</v>
      </c>
    </row>
    <row r="1095" spans="1:12">
      <c r="A1095" s="5">
        <v>42978</v>
      </c>
      <c r="B1095" s="3">
        <v>980.59997599999997</v>
      </c>
      <c r="C1095" s="3">
        <v>179.32635500000001</v>
      </c>
      <c r="D1095" s="3">
        <v>4921.8500979999999</v>
      </c>
      <c r="E1095" s="3">
        <v>174.71000699999999</v>
      </c>
      <c r="F1095" s="3">
        <f t="shared" si="102"/>
        <v>2017</v>
      </c>
      <c r="G1095" s="3" t="str">
        <f t="shared" si="103"/>
        <v>Aug</v>
      </c>
      <c r="H1095" s="3" t="str">
        <f t="shared" si="104"/>
        <v>Q3</v>
      </c>
      <c r="I1095" s="3">
        <f t="shared" si="105"/>
        <v>-2.3964675275496535E-3</v>
      </c>
      <c r="J1095" s="3">
        <f t="shared" si="106"/>
        <v>-7.0715337946076609E-2</v>
      </c>
      <c r="K1095" s="3" t="str">
        <f t="shared" si="107"/>
        <v>High Volatility</v>
      </c>
      <c r="L1095" s="4">
        <f>VALUE(A1095)</f>
        <v>42978</v>
      </c>
    </row>
    <row r="1096" spans="1:12">
      <c r="A1096" s="5">
        <v>42979</v>
      </c>
      <c r="B1096" s="3">
        <v>978.25</v>
      </c>
      <c r="C1096" s="3">
        <v>180.63493299999999</v>
      </c>
      <c r="D1096" s="3">
        <v>4573.7998049999997</v>
      </c>
      <c r="E1096" s="3">
        <v>174.740005</v>
      </c>
      <c r="F1096" s="3">
        <f t="shared" si="102"/>
        <v>2017</v>
      </c>
      <c r="G1096" s="3" t="str">
        <f t="shared" si="103"/>
        <v>Sep</v>
      </c>
      <c r="H1096" s="3" t="str">
        <f t="shared" si="104"/>
        <v>Q3</v>
      </c>
      <c r="I1096" s="3">
        <f t="shared" si="105"/>
        <v>-1.3268571428571383E-2</v>
      </c>
      <c r="J1096" s="3">
        <f t="shared" si="106"/>
        <v>9.8190034358095219E-3</v>
      </c>
      <c r="K1096" s="3" t="str">
        <f t="shared" si="107"/>
        <v>Normal</v>
      </c>
      <c r="L1096" s="4">
        <f>VALUE(A1096)</f>
        <v>42979</v>
      </c>
    </row>
    <row r="1097" spans="1:12">
      <c r="A1097" s="5">
        <v>42983</v>
      </c>
      <c r="B1097" s="3">
        <v>965.27002000000005</v>
      </c>
      <c r="C1097" s="3">
        <v>179.56248500000001</v>
      </c>
      <c r="D1097" s="3">
        <v>4618.7099609999996</v>
      </c>
      <c r="E1097" s="3">
        <v>174.520004</v>
      </c>
      <c r="F1097" s="3">
        <f t="shared" si="102"/>
        <v>2017</v>
      </c>
      <c r="G1097" s="3" t="str">
        <f t="shared" si="103"/>
        <v>Sep</v>
      </c>
      <c r="H1097" s="3" t="str">
        <f t="shared" si="104"/>
        <v>Q3</v>
      </c>
      <c r="I1097" s="3">
        <f t="shared" si="105"/>
        <v>2.6209951076693956E-3</v>
      </c>
      <c r="J1097" s="3">
        <f t="shared" si="106"/>
        <v>3.6568949214432658E-3</v>
      </c>
      <c r="K1097" s="3" t="str">
        <f t="shared" si="107"/>
        <v>Normal</v>
      </c>
      <c r="L1097" s="4">
        <f>VALUE(A1097)</f>
        <v>42983</v>
      </c>
    </row>
    <row r="1098" spans="1:12">
      <c r="A1098" s="5">
        <v>42984</v>
      </c>
      <c r="B1098" s="3">
        <v>967.79998799999998</v>
      </c>
      <c r="C1098" s="3">
        <v>179.69042999999999</v>
      </c>
      <c r="D1098" s="3">
        <v>4635.6000979999999</v>
      </c>
      <c r="E1098" s="3">
        <v>179.25</v>
      </c>
      <c r="F1098" s="3">
        <f t="shared" si="102"/>
        <v>2017</v>
      </c>
      <c r="G1098" s="3" t="str">
        <f t="shared" si="103"/>
        <v>Sep</v>
      </c>
      <c r="H1098" s="3" t="str">
        <f t="shared" si="104"/>
        <v>Q3</v>
      </c>
      <c r="I1098" s="3">
        <f t="shared" si="105"/>
        <v>1.205825908731051E-2</v>
      </c>
      <c r="J1098" s="3">
        <f t="shared" si="106"/>
        <v>-6.6690373730335428E-2</v>
      </c>
      <c r="K1098" s="3" t="str">
        <f t="shared" si="107"/>
        <v>High Volatility</v>
      </c>
      <c r="L1098" s="4">
        <f>VALUE(A1098)</f>
        <v>42984</v>
      </c>
    </row>
    <row r="1099" spans="1:12">
      <c r="A1099" s="5">
        <v>42985</v>
      </c>
      <c r="B1099" s="3">
        <v>979.46997099999999</v>
      </c>
      <c r="C1099" s="3">
        <v>180.36930799999999</v>
      </c>
      <c r="D1099" s="3">
        <v>4326.4501950000003</v>
      </c>
      <c r="E1099" s="3">
        <v>179</v>
      </c>
      <c r="F1099" s="3">
        <f t="shared" si="102"/>
        <v>2017</v>
      </c>
      <c r="G1099" s="3" t="str">
        <f t="shared" si="103"/>
        <v>Sep</v>
      </c>
      <c r="H1099" s="3" t="str">
        <f t="shared" si="104"/>
        <v>Q3</v>
      </c>
      <c r="I1099" s="3">
        <f t="shared" si="105"/>
        <v>-1.3854377777550013E-2</v>
      </c>
      <c r="J1099" s="3">
        <f t="shared" si="106"/>
        <v>2.0061915909791858E-3</v>
      </c>
      <c r="K1099" s="3" t="str">
        <f t="shared" si="107"/>
        <v>Normal</v>
      </c>
      <c r="L1099" s="4">
        <f>VALUE(A1099)</f>
        <v>42985</v>
      </c>
    </row>
    <row r="1100" spans="1:12">
      <c r="A1100" s="5">
        <v>42986</v>
      </c>
      <c r="B1100" s="3">
        <v>965.90002400000003</v>
      </c>
      <c r="C1100" s="3">
        <v>183.429214</v>
      </c>
      <c r="D1100" s="3">
        <v>4335.1298829999996</v>
      </c>
      <c r="E1100" s="3">
        <v>176.41999799999999</v>
      </c>
      <c r="F1100" s="3">
        <f t="shared" si="102"/>
        <v>2017</v>
      </c>
      <c r="G1100" s="3" t="str">
        <f t="shared" si="103"/>
        <v>Sep</v>
      </c>
      <c r="H1100" s="3" t="str">
        <f t="shared" si="104"/>
        <v>Q3</v>
      </c>
      <c r="I1100" s="3">
        <f t="shared" si="105"/>
        <v>1.2485762191056691E-2</v>
      </c>
      <c r="J1100" s="3">
        <f t="shared" si="106"/>
        <v>-4.0646985385835457E-2</v>
      </c>
      <c r="K1100" s="3" t="str">
        <f t="shared" si="107"/>
        <v>Normal</v>
      </c>
      <c r="L1100" s="4">
        <f>VALUE(A1100)</f>
        <v>42986</v>
      </c>
    </row>
    <row r="1101" spans="1:12">
      <c r="A1101" s="5">
        <v>42989</v>
      </c>
      <c r="B1101" s="3">
        <v>977.96002199999998</v>
      </c>
      <c r="C1101" s="3">
        <v>185.97756999999999</v>
      </c>
      <c r="D1101" s="3">
        <v>4158.919922</v>
      </c>
      <c r="E1101" s="3">
        <v>181.740005</v>
      </c>
      <c r="F1101" s="3">
        <f t="shared" si="102"/>
        <v>2017</v>
      </c>
      <c r="G1101" s="3" t="str">
        <f t="shared" si="103"/>
        <v>Sep</v>
      </c>
      <c r="H1101" s="3" t="str">
        <f t="shared" si="104"/>
        <v>Q3</v>
      </c>
      <c r="I1101" s="3">
        <f t="shared" si="105"/>
        <v>4.7241143769371965E-3</v>
      </c>
      <c r="J1101" s="3">
        <f t="shared" si="106"/>
        <v>-6.9400202074869397E-2</v>
      </c>
      <c r="K1101" s="3" t="str">
        <f t="shared" si="107"/>
        <v>High Volatility</v>
      </c>
      <c r="L1101" s="4">
        <f>VALUE(A1101)</f>
        <v>42989</v>
      </c>
    </row>
    <row r="1102" spans="1:12">
      <c r="A1102" s="5">
        <v>42990</v>
      </c>
      <c r="B1102" s="3">
        <v>982.580017</v>
      </c>
      <c r="C1102" s="3">
        <v>186.863068</v>
      </c>
      <c r="D1102" s="3">
        <v>3870.290039</v>
      </c>
      <c r="E1102" s="3">
        <v>185.14999399999999</v>
      </c>
      <c r="F1102" s="3">
        <f t="shared" si="102"/>
        <v>2017</v>
      </c>
      <c r="G1102" s="3" t="str">
        <f t="shared" si="103"/>
        <v>Sep</v>
      </c>
      <c r="H1102" s="3" t="str">
        <f t="shared" si="104"/>
        <v>Q3</v>
      </c>
      <c r="I1102" s="3">
        <f t="shared" si="105"/>
        <v>1.7321702767745147E-2</v>
      </c>
      <c r="J1102" s="3">
        <f t="shared" si="106"/>
        <v>-0.16205761187914941</v>
      </c>
      <c r="K1102" s="3" t="str">
        <f t="shared" si="107"/>
        <v>High Volatility</v>
      </c>
      <c r="L1102" s="4">
        <f>VALUE(A1102)</f>
        <v>42990</v>
      </c>
    </row>
    <row r="1103" spans="1:12">
      <c r="A1103" s="5">
        <v>42991</v>
      </c>
      <c r="B1103" s="3">
        <v>999.59997599999997</v>
      </c>
      <c r="C1103" s="3">
        <v>185.51513700000001</v>
      </c>
      <c r="D1103" s="3">
        <v>3243.080078</v>
      </c>
      <c r="E1103" s="3">
        <v>183.63999899999999</v>
      </c>
      <c r="F1103" s="3">
        <f t="shared" si="102"/>
        <v>2017</v>
      </c>
      <c r="G1103" s="3" t="str">
        <f t="shared" si="103"/>
        <v>Sep</v>
      </c>
      <c r="H1103" s="3" t="str">
        <f t="shared" si="104"/>
        <v>Q3</v>
      </c>
      <c r="I1103" s="3">
        <f t="shared" si="105"/>
        <v>-7.392911341966648E-3</v>
      </c>
      <c r="J1103" s="3">
        <f t="shared" si="106"/>
        <v>0.14513361393477131</v>
      </c>
      <c r="K1103" s="3" t="str">
        <f t="shared" si="107"/>
        <v>High Volatility</v>
      </c>
      <c r="L1103" s="4">
        <f>VALUE(A1103)</f>
        <v>42991</v>
      </c>
    </row>
    <row r="1104" spans="1:12">
      <c r="A1104" s="5">
        <v>42992</v>
      </c>
      <c r="B1104" s="3">
        <v>992.21002199999998</v>
      </c>
      <c r="C1104" s="3">
        <v>187.31021100000001</v>
      </c>
      <c r="D1104" s="3">
        <v>3713.76001</v>
      </c>
      <c r="E1104" s="3">
        <v>182.63000500000001</v>
      </c>
      <c r="F1104" s="3">
        <f t="shared" si="102"/>
        <v>2017</v>
      </c>
      <c r="G1104" s="3" t="str">
        <f t="shared" si="103"/>
        <v>Sep</v>
      </c>
      <c r="H1104" s="3" t="str">
        <f t="shared" si="104"/>
        <v>Q3</v>
      </c>
      <c r="I1104" s="3">
        <f t="shared" si="105"/>
        <v>-5.4625975144604634E-3</v>
      </c>
      <c r="J1104" s="3">
        <f t="shared" si="106"/>
        <v>-3.9959738809293502E-3</v>
      </c>
      <c r="K1104" s="3" t="str">
        <f t="shared" si="107"/>
        <v>Normal</v>
      </c>
      <c r="L1104" s="4">
        <f>VALUE(A1104)</f>
        <v>42992</v>
      </c>
    </row>
    <row r="1105" spans="1:12">
      <c r="A1105" s="5">
        <v>42993</v>
      </c>
      <c r="B1105" s="3">
        <v>986.78997800000002</v>
      </c>
      <c r="C1105" s="3">
        <v>192.01490799999999</v>
      </c>
      <c r="D1105" s="3">
        <v>3698.919922</v>
      </c>
      <c r="E1105" s="3">
        <v>182.35000600000001</v>
      </c>
      <c r="F1105" s="3">
        <f t="shared" si="102"/>
        <v>2017</v>
      </c>
      <c r="G1105" s="3" t="str">
        <f t="shared" si="103"/>
        <v>Sep</v>
      </c>
      <c r="H1105" s="3" t="str">
        <f t="shared" si="104"/>
        <v>Q3</v>
      </c>
      <c r="I1105" s="3">
        <f t="shared" si="105"/>
        <v>-1.276865014938363E-2</v>
      </c>
      <c r="J1105" s="3">
        <f t="shared" si="106"/>
        <v>5.6513804950654993E-2</v>
      </c>
      <c r="K1105" s="3" t="str">
        <f t="shared" si="107"/>
        <v>High Volatility</v>
      </c>
      <c r="L1105" s="4">
        <f>VALUE(A1105)</f>
        <v>42993</v>
      </c>
    </row>
    <row r="1106" spans="1:12">
      <c r="A1106" s="5">
        <v>42996</v>
      </c>
      <c r="B1106" s="3">
        <v>974.19000200000005</v>
      </c>
      <c r="C1106" s="3">
        <v>192.942047</v>
      </c>
      <c r="D1106" s="3">
        <v>3907.959961</v>
      </c>
      <c r="E1106" s="3">
        <v>184.61999499999999</v>
      </c>
      <c r="F1106" s="3">
        <f t="shared" si="102"/>
        <v>2017</v>
      </c>
      <c r="G1106" s="3" t="str">
        <f t="shared" si="103"/>
        <v>Sep</v>
      </c>
      <c r="H1106" s="3" t="str">
        <f t="shared" si="104"/>
        <v>Q3</v>
      </c>
      <c r="I1106" s="3">
        <f t="shared" si="105"/>
        <v>-4.4447356173955045E-3</v>
      </c>
      <c r="J1106" s="3">
        <f t="shared" si="106"/>
        <v>-6.6019225522970871E-3</v>
      </c>
      <c r="K1106" s="3" t="str">
        <f t="shared" si="107"/>
        <v>Normal</v>
      </c>
      <c r="L1106" s="4">
        <f>VALUE(A1106)</f>
        <v>42996</v>
      </c>
    </row>
    <row r="1107" spans="1:12">
      <c r="A1107" s="5">
        <v>42997</v>
      </c>
      <c r="B1107" s="3">
        <v>969.85998500000005</v>
      </c>
      <c r="C1107" s="3">
        <v>193.247803</v>
      </c>
      <c r="D1107" s="3">
        <v>3882.1599120000001</v>
      </c>
      <c r="E1107" s="3">
        <v>185.679993</v>
      </c>
      <c r="F1107" s="3">
        <f t="shared" si="102"/>
        <v>2017</v>
      </c>
      <c r="G1107" s="3" t="str">
        <f t="shared" si="103"/>
        <v>Sep</v>
      </c>
      <c r="H1107" s="3" t="str">
        <f t="shared" si="104"/>
        <v>Q3</v>
      </c>
      <c r="I1107" s="3">
        <f t="shared" si="105"/>
        <v>3.454144981556208E-3</v>
      </c>
      <c r="J1107" s="3">
        <f t="shared" si="106"/>
        <v>-6.8232607106474122E-2</v>
      </c>
      <c r="K1107" s="3" t="str">
        <f t="shared" si="107"/>
        <v>High Volatility</v>
      </c>
      <c r="L1107" s="4">
        <f>VALUE(A1107)</f>
        <v>42997</v>
      </c>
    </row>
    <row r="1108" spans="1:12">
      <c r="A1108" s="5">
        <v>42998</v>
      </c>
      <c r="B1108" s="3">
        <v>973.21002199999998</v>
      </c>
      <c r="C1108" s="3">
        <v>194.875214</v>
      </c>
      <c r="D1108" s="3">
        <v>3617.2700199999999</v>
      </c>
      <c r="E1108" s="3">
        <v>185.509995</v>
      </c>
      <c r="F1108" s="3">
        <f t="shared" si="102"/>
        <v>2017</v>
      </c>
      <c r="G1108" s="3" t="str">
        <f t="shared" si="103"/>
        <v>Sep</v>
      </c>
      <c r="H1108" s="3" t="str">
        <f t="shared" si="104"/>
        <v>Q3</v>
      </c>
      <c r="I1108" s="3">
        <f t="shared" si="105"/>
        <v>-8.7956328094615024E-3</v>
      </c>
      <c r="J1108" s="3">
        <f t="shared" si="106"/>
        <v>-4.5448478850356805E-3</v>
      </c>
      <c r="K1108" s="3" t="str">
        <f t="shared" si="107"/>
        <v>Normal</v>
      </c>
      <c r="L1108" s="4">
        <f>VALUE(A1108)</f>
        <v>42998</v>
      </c>
    </row>
    <row r="1109" spans="1:12">
      <c r="A1109" s="5">
        <v>42999</v>
      </c>
      <c r="B1109" s="3">
        <v>964.65002400000003</v>
      </c>
      <c r="C1109" s="3">
        <v>195.328903</v>
      </c>
      <c r="D1109" s="3">
        <v>3600.830078</v>
      </c>
      <c r="E1109" s="3">
        <v>188.779999</v>
      </c>
      <c r="F1109" s="3">
        <f t="shared" si="102"/>
        <v>2017</v>
      </c>
      <c r="G1109" s="3" t="str">
        <f t="shared" si="103"/>
        <v>Sep</v>
      </c>
      <c r="H1109" s="3" t="str">
        <f t="shared" si="104"/>
        <v>Q3</v>
      </c>
      <c r="I1109" s="3">
        <f t="shared" si="105"/>
        <v>-9.9000132300831826E-3</v>
      </c>
      <c r="J1109" s="3">
        <f t="shared" si="106"/>
        <v>5.1985219503601354E-2</v>
      </c>
      <c r="K1109" s="3" t="str">
        <f t="shared" si="107"/>
        <v>High Volatility</v>
      </c>
      <c r="L1109" s="4">
        <f>VALUE(A1109)</f>
        <v>42999</v>
      </c>
    </row>
    <row r="1110" spans="1:12">
      <c r="A1110" s="5">
        <v>43000</v>
      </c>
      <c r="B1110" s="3">
        <v>955.09997599999997</v>
      </c>
      <c r="C1110" s="3">
        <v>194.51028400000001</v>
      </c>
      <c r="D1110" s="3">
        <v>3788.0200199999999</v>
      </c>
      <c r="E1110" s="3">
        <v>187.35000600000001</v>
      </c>
      <c r="F1110" s="3">
        <f t="shared" si="102"/>
        <v>2017</v>
      </c>
      <c r="G1110" s="3" t="str">
        <f t="shared" si="103"/>
        <v>Sep</v>
      </c>
      <c r="H1110" s="3" t="str">
        <f t="shared" si="104"/>
        <v>Q3</v>
      </c>
      <c r="I1110" s="3">
        <f t="shared" si="105"/>
        <v>-1.6029733415049263E-2</v>
      </c>
      <c r="J1110" s="3">
        <f t="shared" si="106"/>
        <v>2.76344714249953E-2</v>
      </c>
      <c r="K1110" s="3" t="str">
        <f t="shared" si="107"/>
        <v>Normal</v>
      </c>
      <c r="L1110" s="4">
        <f>VALUE(A1110)</f>
        <v>43000</v>
      </c>
    </row>
    <row r="1111" spans="1:12">
      <c r="A1111" s="5">
        <v>43003</v>
      </c>
      <c r="B1111" s="3">
        <v>939.78997800000002</v>
      </c>
      <c r="C1111" s="3">
        <v>190.77217099999999</v>
      </c>
      <c r="D1111" s="3">
        <v>3892.6999510000001</v>
      </c>
      <c r="E1111" s="3">
        <v>178.550003</v>
      </c>
      <c r="F1111" s="3">
        <f t="shared" si="102"/>
        <v>2017</v>
      </c>
      <c r="G1111" s="3" t="str">
        <f t="shared" si="103"/>
        <v>Sep</v>
      </c>
      <c r="H1111" s="3" t="str">
        <f t="shared" si="104"/>
        <v>Q3</v>
      </c>
      <c r="I1111" s="3">
        <f t="shared" si="105"/>
        <v>-1.2662424880636996E-3</v>
      </c>
      <c r="J1111" s="3">
        <f t="shared" si="106"/>
        <v>8.2076771398197162E-2</v>
      </c>
      <c r="K1111" s="3" t="str">
        <f t="shared" si="107"/>
        <v>High Volatility</v>
      </c>
      <c r="L1111" s="4">
        <f>VALUE(A1111)</f>
        <v>43003</v>
      </c>
    </row>
    <row r="1112" spans="1:12">
      <c r="A1112" s="5">
        <v>43004</v>
      </c>
      <c r="B1112" s="3">
        <v>938.59997599999997</v>
      </c>
      <c r="C1112" s="3">
        <v>190.66366600000001</v>
      </c>
      <c r="D1112" s="3">
        <v>4212.2001950000003</v>
      </c>
      <c r="E1112" s="3">
        <v>179.38000500000001</v>
      </c>
      <c r="F1112" s="3">
        <f t="shared" si="102"/>
        <v>2017</v>
      </c>
      <c r="G1112" s="3" t="str">
        <f t="shared" si="103"/>
        <v>Sep</v>
      </c>
      <c r="H1112" s="3" t="str">
        <f t="shared" si="104"/>
        <v>Q3</v>
      </c>
      <c r="I1112" s="3">
        <f t="shared" si="105"/>
        <v>1.3072681987795031E-2</v>
      </c>
      <c r="J1112" s="3">
        <f t="shared" si="106"/>
        <v>-3.9291325753334086E-3</v>
      </c>
      <c r="K1112" s="3" t="str">
        <f t="shared" si="107"/>
        <v>Normal</v>
      </c>
      <c r="L1112" s="4">
        <f>VALUE(A1112)</f>
        <v>43004</v>
      </c>
    </row>
    <row r="1113" spans="1:12">
      <c r="A1113" s="5">
        <v>43005</v>
      </c>
      <c r="B1113" s="3">
        <v>950.86999500000002</v>
      </c>
      <c r="C1113" s="3">
        <v>194.14534</v>
      </c>
      <c r="D1113" s="3">
        <v>4195.6499020000001</v>
      </c>
      <c r="E1113" s="3">
        <v>181.970001</v>
      </c>
      <c r="F1113" s="3">
        <f t="shared" si="102"/>
        <v>2017</v>
      </c>
      <c r="G1113" s="3" t="str">
        <f t="shared" si="103"/>
        <v>Sep</v>
      </c>
      <c r="H1113" s="3" t="str">
        <f t="shared" si="104"/>
        <v>Q3</v>
      </c>
      <c r="I1113" s="3">
        <f t="shared" si="105"/>
        <v>5.8157571792976951E-3</v>
      </c>
      <c r="J1113" s="3">
        <f t="shared" si="106"/>
        <v>-5.4484677067795249E-3</v>
      </c>
      <c r="K1113" s="3" t="str">
        <f t="shared" si="107"/>
        <v>Normal</v>
      </c>
      <c r="L1113" s="4">
        <f>VALUE(A1113)</f>
        <v>43005</v>
      </c>
    </row>
    <row r="1114" spans="1:12">
      <c r="A1114" s="5">
        <v>43006</v>
      </c>
      <c r="B1114" s="3">
        <v>956.40002400000003</v>
      </c>
      <c r="C1114" s="3">
        <v>194.34257500000001</v>
      </c>
      <c r="D1114" s="3">
        <v>4172.7900390000004</v>
      </c>
      <c r="E1114" s="3">
        <v>180.699997</v>
      </c>
      <c r="F1114" s="3">
        <f t="shared" si="102"/>
        <v>2017</v>
      </c>
      <c r="G1114" s="3" t="str">
        <f t="shared" si="103"/>
        <v>Sep</v>
      </c>
      <c r="H1114" s="3" t="str">
        <f t="shared" si="104"/>
        <v>Q3</v>
      </c>
      <c r="I1114" s="3">
        <f t="shared" si="105"/>
        <v>5.1756084021176681E-3</v>
      </c>
      <c r="J1114" s="3">
        <f t="shared" si="106"/>
        <v>4.5013067095274459E-2</v>
      </c>
      <c r="K1114" s="3" t="str">
        <f t="shared" si="107"/>
        <v>Normal</v>
      </c>
      <c r="L1114" s="4">
        <f>VALUE(A1114)</f>
        <v>43006</v>
      </c>
    </row>
    <row r="1115" spans="1:12">
      <c r="A1115" s="5">
        <v>43007</v>
      </c>
      <c r="B1115" s="3">
        <v>961.34997599999997</v>
      </c>
      <c r="C1115" s="3">
        <v>195.83195499999999</v>
      </c>
      <c r="D1115" s="3">
        <v>4360.6201170000004</v>
      </c>
      <c r="E1115" s="3">
        <v>181.35000600000001</v>
      </c>
      <c r="F1115" s="3">
        <f t="shared" si="102"/>
        <v>2017</v>
      </c>
      <c r="G1115" s="3" t="str">
        <f t="shared" si="103"/>
        <v>Sep</v>
      </c>
      <c r="H1115" s="3" t="str">
        <f t="shared" si="104"/>
        <v>Q3</v>
      </c>
      <c r="I1115" s="3">
        <f t="shared" si="105"/>
        <v>-2.2468133915051142E-3</v>
      </c>
      <c r="J1115" s="3">
        <f t="shared" si="106"/>
        <v>-1.0649847900979295E-2</v>
      </c>
      <c r="K1115" s="3" t="str">
        <f t="shared" si="107"/>
        <v>Normal</v>
      </c>
      <c r="L1115" s="4">
        <f>VALUE(A1115)</f>
        <v>43007</v>
      </c>
    </row>
    <row r="1116" spans="1:12">
      <c r="A1116" s="5">
        <v>43010</v>
      </c>
      <c r="B1116" s="3">
        <v>959.19000200000005</v>
      </c>
      <c r="C1116" s="3">
        <v>197.25221300000001</v>
      </c>
      <c r="D1116" s="3">
        <v>4314.1801759999998</v>
      </c>
      <c r="E1116" s="3">
        <v>177.009995</v>
      </c>
      <c r="F1116" s="3">
        <f t="shared" si="102"/>
        <v>2017</v>
      </c>
      <c r="G1116" s="3" t="str">
        <f t="shared" si="103"/>
        <v>Oct</v>
      </c>
      <c r="H1116" s="3" t="str">
        <f t="shared" si="104"/>
        <v>Q4</v>
      </c>
      <c r="I1116" s="3">
        <f t="shared" si="105"/>
        <v>-2.178948900261869E-3</v>
      </c>
      <c r="J1116" s="3">
        <f t="shared" si="106"/>
        <v>-2.2140943609954583E-2</v>
      </c>
      <c r="K1116" s="3" t="str">
        <f t="shared" si="107"/>
        <v>Normal</v>
      </c>
      <c r="L1116" s="4">
        <f>VALUE(A1116)</f>
        <v>43010</v>
      </c>
    </row>
    <row r="1117" spans="1:12">
      <c r="A1117" s="5">
        <v>43011</v>
      </c>
      <c r="B1117" s="3">
        <v>957.09997599999997</v>
      </c>
      <c r="C1117" s="3">
        <v>200.033615</v>
      </c>
      <c r="D1117" s="3">
        <v>4218.6601559999999</v>
      </c>
      <c r="E1117" s="3">
        <v>179.19000199999999</v>
      </c>
      <c r="F1117" s="3">
        <f t="shared" si="102"/>
        <v>2017</v>
      </c>
      <c r="G1117" s="3" t="str">
        <f t="shared" si="103"/>
        <v>Oct</v>
      </c>
      <c r="H1117" s="3" t="str">
        <f t="shared" si="104"/>
        <v>Q4</v>
      </c>
      <c r="I1117" s="3">
        <f t="shared" si="105"/>
        <v>8.7243090684186227E-3</v>
      </c>
      <c r="J1117" s="3">
        <f t="shared" si="106"/>
        <v>2.4363134549679456E-2</v>
      </c>
      <c r="K1117" s="3" t="str">
        <f t="shared" si="107"/>
        <v>Normal</v>
      </c>
      <c r="L1117" s="4">
        <f>VALUE(A1117)</f>
        <v>43011</v>
      </c>
    </row>
    <row r="1118" spans="1:12">
      <c r="A1118" s="5">
        <v>43012</v>
      </c>
      <c r="B1118" s="3">
        <v>965.45001200000002</v>
      </c>
      <c r="C1118" s="3">
        <v>198.879639</v>
      </c>
      <c r="D1118" s="3">
        <v>4321.4399409999996</v>
      </c>
      <c r="E1118" s="3">
        <v>184.449997</v>
      </c>
      <c r="F1118" s="3">
        <f t="shared" si="102"/>
        <v>2017</v>
      </c>
      <c r="G1118" s="3" t="str">
        <f t="shared" si="103"/>
        <v>Oct</v>
      </c>
      <c r="H1118" s="3" t="str">
        <f t="shared" si="104"/>
        <v>Q4</v>
      </c>
      <c r="I1118" s="3">
        <f t="shared" si="105"/>
        <v>1.5951073394362289E-2</v>
      </c>
      <c r="J1118" s="3">
        <f t="shared" si="106"/>
        <v>1.1685919667858228E-2</v>
      </c>
      <c r="K1118" s="3" t="str">
        <f t="shared" si="107"/>
        <v>Normal</v>
      </c>
      <c r="L1118" s="4">
        <f>VALUE(A1118)</f>
        <v>43012</v>
      </c>
    </row>
    <row r="1119" spans="1:12">
      <c r="A1119" s="5">
        <v>43013</v>
      </c>
      <c r="B1119" s="3">
        <v>980.84997599999997</v>
      </c>
      <c r="C1119" s="3">
        <v>203.19967700000001</v>
      </c>
      <c r="D1119" s="3">
        <v>4371.9399409999996</v>
      </c>
      <c r="E1119" s="3">
        <v>194.38999899999999</v>
      </c>
      <c r="F1119" s="3">
        <f t="shared" si="102"/>
        <v>2017</v>
      </c>
      <c r="G1119" s="3" t="str">
        <f t="shared" si="103"/>
        <v>Oct</v>
      </c>
      <c r="H1119" s="3" t="str">
        <f t="shared" si="104"/>
        <v>Q4</v>
      </c>
      <c r="I1119" s="3">
        <f t="shared" si="105"/>
        <v>8.9004855111502069E-3</v>
      </c>
      <c r="J1119" s="3">
        <f t="shared" si="106"/>
        <v>1.4609102334875999E-2</v>
      </c>
      <c r="K1119" s="3" t="str">
        <f t="shared" si="107"/>
        <v>Normal</v>
      </c>
      <c r="L1119" s="4">
        <f>VALUE(A1119)</f>
        <v>43013</v>
      </c>
    </row>
    <row r="1120" spans="1:12">
      <c r="A1120" s="5">
        <v>43014</v>
      </c>
      <c r="B1120" s="3">
        <v>989.580017</v>
      </c>
      <c r="C1120" s="3">
        <v>202.578293</v>
      </c>
      <c r="D1120" s="3">
        <v>4435.8100590000004</v>
      </c>
      <c r="E1120" s="3">
        <v>198.020004</v>
      </c>
      <c r="F1120" s="3">
        <f t="shared" si="102"/>
        <v>2017</v>
      </c>
      <c r="G1120" s="3" t="str">
        <f t="shared" si="103"/>
        <v>Oct</v>
      </c>
      <c r="H1120" s="3" t="str">
        <f t="shared" si="104"/>
        <v>Q4</v>
      </c>
      <c r="I1120" s="3">
        <f t="shared" si="105"/>
        <v>1.4248195959680908E-3</v>
      </c>
      <c r="J1120" s="3">
        <f t="shared" si="106"/>
        <v>7.3842161779542351E-2</v>
      </c>
      <c r="K1120" s="3" t="str">
        <f t="shared" si="107"/>
        <v>High Volatility</v>
      </c>
      <c r="L1120" s="4">
        <f>VALUE(A1120)</f>
        <v>43014</v>
      </c>
    </row>
    <row r="1121" spans="1:12">
      <c r="A1121" s="5">
        <v>43017</v>
      </c>
      <c r="B1121" s="3">
        <v>990.98999000000003</v>
      </c>
      <c r="C1121" s="3">
        <v>202.982697</v>
      </c>
      <c r="D1121" s="3">
        <v>4763.3598629999997</v>
      </c>
      <c r="E1121" s="3">
        <v>196.86999499999999</v>
      </c>
      <c r="F1121" s="3">
        <f t="shared" si="102"/>
        <v>2017</v>
      </c>
      <c r="G1121" s="3" t="str">
        <f t="shared" si="103"/>
        <v>Oct</v>
      </c>
      <c r="H1121" s="3" t="str">
        <f t="shared" si="104"/>
        <v>Q4</v>
      </c>
      <c r="I1121" s="3">
        <f t="shared" si="105"/>
        <v>-3.8244362084828114E-3</v>
      </c>
      <c r="J1121" s="3">
        <f t="shared" si="106"/>
        <v>1.2772566791055541E-2</v>
      </c>
      <c r="K1121" s="3" t="str">
        <f t="shared" si="107"/>
        <v>Normal</v>
      </c>
      <c r="L1121" s="4">
        <f>VALUE(A1121)</f>
        <v>43017</v>
      </c>
    </row>
    <row r="1122" spans="1:12">
      <c r="A1122" s="5">
        <v>43018</v>
      </c>
      <c r="B1122" s="3">
        <v>987.20001200000002</v>
      </c>
      <c r="C1122" s="3">
        <v>206.57286099999999</v>
      </c>
      <c r="D1122" s="3">
        <v>4824.2001950000003</v>
      </c>
      <c r="E1122" s="3">
        <v>195.08000200000001</v>
      </c>
      <c r="F1122" s="3">
        <f t="shared" si="102"/>
        <v>2017</v>
      </c>
      <c r="G1122" s="3" t="str">
        <f t="shared" si="103"/>
        <v>Oct</v>
      </c>
      <c r="H1122" s="3" t="str">
        <f t="shared" si="104"/>
        <v>Q4</v>
      </c>
      <c r="I1122" s="3">
        <f t="shared" si="105"/>
        <v>7.9011222702456627E-3</v>
      </c>
      <c r="J1122" s="3">
        <f t="shared" si="106"/>
        <v>0.12611829886964299</v>
      </c>
      <c r="K1122" s="3" t="str">
        <f t="shared" si="107"/>
        <v>High Volatility</v>
      </c>
      <c r="L1122" s="4">
        <f>VALUE(A1122)</f>
        <v>43018</v>
      </c>
    </row>
    <row r="1123" spans="1:12">
      <c r="A1123" s="5">
        <v>43019</v>
      </c>
      <c r="B1123" s="3">
        <v>995</v>
      </c>
      <c r="C1123" s="3">
        <v>206.375595</v>
      </c>
      <c r="D1123" s="3">
        <v>5432.6201170000004</v>
      </c>
      <c r="E1123" s="3">
        <v>194.949997</v>
      </c>
      <c r="F1123" s="3">
        <f t="shared" si="102"/>
        <v>2017</v>
      </c>
      <c r="G1123" s="3" t="str">
        <f t="shared" si="103"/>
        <v>Oct</v>
      </c>
      <c r="H1123" s="3" t="str">
        <f t="shared" si="104"/>
        <v>Q4</v>
      </c>
      <c r="I1123" s="3">
        <f t="shared" si="105"/>
        <v>5.9597919597989624E-3</v>
      </c>
      <c r="J1123" s="3">
        <f t="shared" si="106"/>
        <v>3.7668683727697452E-2</v>
      </c>
      <c r="K1123" s="3" t="str">
        <f t="shared" si="107"/>
        <v>Normal</v>
      </c>
      <c r="L1123" s="4">
        <f>VALUE(A1123)</f>
        <v>43019</v>
      </c>
    </row>
    <row r="1124" spans="1:12">
      <c r="A1124" s="5">
        <v>43020</v>
      </c>
      <c r="B1124" s="3">
        <v>1000.929993</v>
      </c>
      <c r="C1124" s="3">
        <v>198.277985</v>
      </c>
      <c r="D1124" s="3">
        <v>5637.2597660000001</v>
      </c>
      <c r="E1124" s="3">
        <v>195.86000100000001</v>
      </c>
      <c r="F1124" s="3">
        <f t="shared" si="102"/>
        <v>2017</v>
      </c>
      <c r="G1124" s="3" t="str">
        <f t="shared" si="103"/>
        <v>Oct</v>
      </c>
      <c r="H1124" s="3" t="str">
        <f t="shared" si="104"/>
        <v>Q4</v>
      </c>
      <c r="I1124" s="3">
        <f t="shared" si="105"/>
        <v>2.0081414425155326E-3</v>
      </c>
      <c r="J1124" s="3">
        <f t="shared" si="106"/>
        <v>3.3252005900201304E-2</v>
      </c>
      <c r="K1124" s="3" t="str">
        <f t="shared" si="107"/>
        <v>Normal</v>
      </c>
      <c r="L1124" s="4">
        <f>VALUE(A1124)</f>
        <v>43020</v>
      </c>
    </row>
    <row r="1125" spans="1:12">
      <c r="A1125" s="5">
        <v>43021</v>
      </c>
      <c r="B1125" s="3">
        <v>1002.940002</v>
      </c>
      <c r="C1125" s="3">
        <v>190.338165</v>
      </c>
      <c r="D1125" s="3">
        <v>5824.7099609999996</v>
      </c>
      <c r="E1125" s="3">
        <v>199.490005</v>
      </c>
      <c r="F1125" s="3">
        <f t="shared" si="102"/>
        <v>2017</v>
      </c>
      <c r="G1125" s="3" t="str">
        <f t="shared" si="103"/>
        <v>Oct</v>
      </c>
      <c r="H1125" s="3" t="str">
        <f t="shared" si="104"/>
        <v>Q4</v>
      </c>
      <c r="I1125" s="3">
        <f t="shared" si="105"/>
        <v>3.3900582220469794E-3</v>
      </c>
      <c r="J1125" s="3">
        <f t="shared" si="106"/>
        <v>-3.8822513827139492E-2</v>
      </c>
      <c r="K1125" s="3" t="str">
        <f t="shared" si="107"/>
        <v>Normal</v>
      </c>
      <c r="L1125" s="4">
        <f>VALUE(A1125)</f>
        <v>43021</v>
      </c>
    </row>
    <row r="1126" spans="1:12">
      <c r="A1126" s="5">
        <v>43024</v>
      </c>
      <c r="B1126" s="3">
        <v>1006.340027</v>
      </c>
      <c r="C1126" s="3">
        <v>190.54531900000001</v>
      </c>
      <c r="D1126" s="3">
        <v>5598.580078</v>
      </c>
      <c r="E1126" s="3">
        <v>202.679993</v>
      </c>
      <c r="F1126" s="3">
        <f t="shared" si="102"/>
        <v>2017</v>
      </c>
      <c r="G1126" s="3" t="str">
        <f t="shared" si="103"/>
        <v>Oct</v>
      </c>
      <c r="H1126" s="3" t="str">
        <f t="shared" si="104"/>
        <v>Q4</v>
      </c>
      <c r="I1126" s="3">
        <f t="shared" si="105"/>
        <v>2.7724009034175278E-3</v>
      </c>
      <c r="J1126" s="3">
        <f t="shared" si="106"/>
        <v>-4.0635303385938284E-3</v>
      </c>
      <c r="K1126" s="3" t="str">
        <f t="shared" si="107"/>
        <v>Normal</v>
      </c>
      <c r="L1126" s="4">
        <f>VALUE(A1126)</f>
        <v>43024</v>
      </c>
    </row>
    <row r="1127" spans="1:12">
      <c r="A1127" s="5">
        <v>43025</v>
      </c>
      <c r="B1127" s="3">
        <v>1009.130005</v>
      </c>
      <c r="C1127" s="3">
        <v>189.63789399999999</v>
      </c>
      <c r="D1127" s="3">
        <v>5575.830078</v>
      </c>
      <c r="E1127" s="3">
        <v>199.479996</v>
      </c>
      <c r="F1127" s="3">
        <f t="shared" si="102"/>
        <v>2017</v>
      </c>
      <c r="G1127" s="3" t="str">
        <f t="shared" si="103"/>
        <v>Oct</v>
      </c>
      <c r="H1127" s="3" t="str">
        <f t="shared" si="104"/>
        <v>Q4</v>
      </c>
      <c r="I1127" s="3">
        <f t="shared" si="105"/>
        <v>-1.2020259966405402E-2</v>
      </c>
      <c r="J1127" s="3">
        <f t="shared" si="106"/>
        <v>2.2027182012701239E-2</v>
      </c>
      <c r="K1127" s="3" t="str">
        <f t="shared" si="107"/>
        <v>Normal</v>
      </c>
      <c r="L1127" s="4">
        <f>VALUE(A1127)</f>
        <v>43025</v>
      </c>
    </row>
    <row r="1128" spans="1:12">
      <c r="A1128" s="5">
        <v>43026</v>
      </c>
      <c r="B1128" s="3">
        <v>997</v>
      </c>
      <c r="C1128" s="3">
        <v>185.219223</v>
      </c>
      <c r="D1128" s="3">
        <v>5698.6499020000001</v>
      </c>
      <c r="E1128" s="3">
        <v>195.53999300000001</v>
      </c>
      <c r="F1128" s="3">
        <f t="shared" si="102"/>
        <v>2017</v>
      </c>
      <c r="G1128" s="3" t="str">
        <f t="shared" si="103"/>
        <v>Oct</v>
      </c>
      <c r="H1128" s="3" t="str">
        <f t="shared" si="104"/>
        <v>Q4</v>
      </c>
      <c r="I1128" s="3">
        <f t="shared" si="105"/>
        <v>-1.0421278836509477E-2</v>
      </c>
      <c r="J1128" s="3">
        <f t="shared" si="106"/>
        <v>5.167188124623269E-2</v>
      </c>
      <c r="K1128" s="3" t="str">
        <f t="shared" si="107"/>
        <v>High Volatility</v>
      </c>
      <c r="L1128" s="4">
        <f>VALUE(A1128)</f>
        <v>43026</v>
      </c>
    </row>
    <row r="1129" spans="1:12">
      <c r="A1129" s="5">
        <v>43027</v>
      </c>
      <c r="B1129" s="3">
        <v>986.60998500000005</v>
      </c>
      <c r="C1129" s="3">
        <v>183.57208299999999</v>
      </c>
      <c r="D1129" s="3">
        <v>5993.1098629999997</v>
      </c>
      <c r="E1129" s="3">
        <v>195.13000500000001</v>
      </c>
      <c r="F1129" s="3">
        <f t="shared" si="102"/>
        <v>2017</v>
      </c>
      <c r="G1129" s="3" t="str">
        <f t="shared" si="103"/>
        <v>Oct</v>
      </c>
      <c r="H1129" s="3" t="str">
        <f t="shared" si="104"/>
        <v>Q4</v>
      </c>
      <c r="I1129" s="3">
        <f t="shared" si="105"/>
        <v>-3.7502276038692381E-3</v>
      </c>
      <c r="J1129" s="3">
        <f t="shared" si="106"/>
        <v>2.2592676105594755E-3</v>
      </c>
      <c r="K1129" s="3" t="str">
        <f t="shared" si="107"/>
        <v>Normal</v>
      </c>
      <c r="L1129" s="4">
        <f>VALUE(A1129)</f>
        <v>43027</v>
      </c>
    </row>
    <row r="1130" spans="1:12">
      <c r="A1130" s="5">
        <v>43028</v>
      </c>
      <c r="B1130" s="3">
        <v>982.90997300000004</v>
      </c>
      <c r="C1130" s="3">
        <v>183.56222500000001</v>
      </c>
      <c r="D1130" s="3">
        <v>6006.6499020000001</v>
      </c>
      <c r="E1130" s="3">
        <v>194.16000399999999</v>
      </c>
      <c r="F1130" s="3">
        <f t="shared" si="102"/>
        <v>2017</v>
      </c>
      <c r="G1130" s="3" t="str">
        <f t="shared" si="103"/>
        <v>Oct</v>
      </c>
      <c r="H1130" s="3" t="str">
        <f t="shared" si="104"/>
        <v>Q4</v>
      </c>
      <c r="I1130" s="3">
        <f t="shared" si="105"/>
        <v>-1.6898785703947733E-2</v>
      </c>
      <c r="J1130" s="3">
        <f t="shared" si="106"/>
        <v>-8.2170566297805878E-2</v>
      </c>
      <c r="K1130" s="3" t="str">
        <f t="shared" si="107"/>
        <v>High Volatility</v>
      </c>
      <c r="L1130" s="4">
        <f>VALUE(A1130)</f>
        <v>43028</v>
      </c>
    </row>
    <row r="1131" spans="1:12">
      <c r="A1131" s="5">
        <v>43031</v>
      </c>
      <c r="B1131" s="3">
        <v>966.29998799999998</v>
      </c>
      <c r="C1131" s="3">
        <v>180.12988300000001</v>
      </c>
      <c r="D1131" s="3">
        <v>5513.080078</v>
      </c>
      <c r="E1131" s="3">
        <v>192.470001</v>
      </c>
      <c r="F1131" s="3">
        <f t="shared" si="102"/>
        <v>2017</v>
      </c>
      <c r="G1131" s="3" t="str">
        <f t="shared" si="103"/>
        <v>Oct</v>
      </c>
      <c r="H1131" s="3" t="str">
        <f t="shared" si="104"/>
        <v>Q4</v>
      </c>
      <c r="I1131" s="3">
        <f t="shared" si="105"/>
        <v>9.9348402351424284E-3</v>
      </c>
      <c r="J1131" s="3">
        <f t="shared" si="106"/>
        <v>4.0071959571489478E-2</v>
      </c>
      <c r="K1131" s="3" t="str">
        <f t="shared" si="107"/>
        <v>Normal</v>
      </c>
      <c r="L1131" s="4">
        <f>VALUE(A1131)</f>
        <v>43031</v>
      </c>
    </row>
    <row r="1132" spans="1:12">
      <c r="A1132" s="5">
        <v>43032</v>
      </c>
      <c r="B1132" s="3">
        <v>975.90002400000003</v>
      </c>
      <c r="C1132" s="3">
        <v>181.323318</v>
      </c>
      <c r="D1132" s="3">
        <v>5734</v>
      </c>
      <c r="E1132" s="3">
        <v>196.020004</v>
      </c>
      <c r="F1132" s="3">
        <f t="shared" si="102"/>
        <v>2017</v>
      </c>
      <c r="G1132" s="3" t="str">
        <f t="shared" si="103"/>
        <v>Oct</v>
      </c>
      <c r="H1132" s="3" t="str">
        <f t="shared" si="104"/>
        <v>Q4</v>
      </c>
      <c r="I1132" s="3">
        <f t="shared" si="105"/>
        <v>-3.063890692147369E-3</v>
      </c>
      <c r="J1132" s="3">
        <f t="shared" si="106"/>
        <v>2.6789302929891817E-2</v>
      </c>
      <c r="K1132" s="3" t="str">
        <f t="shared" si="107"/>
        <v>Normal</v>
      </c>
      <c r="L1132" s="4">
        <f>VALUE(A1132)</f>
        <v>43032</v>
      </c>
    </row>
    <row r="1133" spans="1:12">
      <c r="A1133" s="5">
        <v>43033</v>
      </c>
      <c r="B1133" s="3">
        <v>972.90997300000004</v>
      </c>
      <c r="C1133" s="3">
        <v>183.20716899999999</v>
      </c>
      <c r="D1133" s="3">
        <v>5887.6098629999997</v>
      </c>
      <c r="E1133" s="3">
        <v>193.770004</v>
      </c>
      <c r="F1133" s="3">
        <f t="shared" si="102"/>
        <v>2017</v>
      </c>
      <c r="G1133" s="3" t="str">
        <f t="shared" si="103"/>
        <v>Oct</v>
      </c>
      <c r="H1133" s="3" t="str">
        <f t="shared" si="104"/>
        <v>Q4</v>
      </c>
      <c r="I1133" s="3">
        <f t="shared" si="105"/>
        <v>-4.9334472183488315E-4</v>
      </c>
      <c r="J1133" s="3">
        <f t="shared" si="106"/>
        <v>-2.0899789025304056E-2</v>
      </c>
      <c r="K1133" s="3" t="str">
        <f t="shared" si="107"/>
        <v>Normal</v>
      </c>
      <c r="L1133" s="4">
        <f>VALUE(A1133)</f>
        <v>43033</v>
      </c>
    </row>
    <row r="1134" spans="1:12">
      <c r="A1134" s="5">
        <v>43034</v>
      </c>
      <c r="B1134" s="3">
        <v>972.42999299999997</v>
      </c>
      <c r="C1134" s="3">
        <v>183.13810699999999</v>
      </c>
      <c r="D1134" s="3">
        <v>5764.5600590000004</v>
      </c>
      <c r="E1134" s="3">
        <v>195.21000699999999</v>
      </c>
      <c r="F1134" s="3">
        <f t="shared" si="102"/>
        <v>2017</v>
      </c>
      <c r="G1134" s="3" t="str">
        <f t="shared" si="103"/>
        <v>Oct</v>
      </c>
      <c r="H1134" s="3" t="str">
        <f t="shared" si="104"/>
        <v>Q4</v>
      </c>
      <c r="I1134" s="3">
        <f t="shared" si="105"/>
        <v>0.13216371247816922</v>
      </c>
      <c r="J1134" s="3">
        <f t="shared" si="106"/>
        <v>-6.5833637973379102E-3</v>
      </c>
      <c r="K1134" s="3" t="str">
        <f t="shared" si="107"/>
        <v>Normal</v>
      </c>
      <c r="L1134" s="4">
        <f>VALUE(A1134)</f>
        <v>43034</v>
      </c>
    </row>
    <row r="1135" spans="1:12">
      <c r="A1135" s="5">
        <v>43035</v>
      </c>
      <c r="B1135" s="3">
        <v>1100.9499510000001</v>
      </c>
      <c r="C1135" s="3">
        <v>182.151794</v>
      </c>
      <c r="D1135" s="3">
        <v>5726.6098629999997</v>
      </c>
      <c r="E1135" s="3">
        <v>199.53999300000001</v>
      </c>
      <c r="F1135" s="3">
        <f t="shared" si="102"/>
        <v>2017</v>
      </c>
      <c r="G1135" s="3" t="str">
        <f t="shared" si="103"/>
        <v>Oct</v>
      </c>
      <c r="H1135" s="3" t="str">
        <f t="shared" si="104"/>
        <v>Q4</v>
      </c>
      <c r="I1135" s="3">
        <f t="shared" si="105"/>
        <v>8.9922570876247894E-3</v>
      </c>
      <c r="J1135" s="3">
        <f t="shared" si="106"/>
        <v>6.9442467972084393E-2</v>
      </c>
      <c r="K1135" s="3" t="str">
        <f t="shared" si="107"/>
        <v>High Volatility</v>
      </c>
      <c r="L1135" s="4">
        <f>VALUE(A1135)</f>
        <v>43035</v>
      </c>
    </row>
    <row r="1136" spans="1:12">
      <c r="A1136" s="5">
        <v>43038</v>
      </c>
      <c r="B1136" s="3">
        <v>1110.849976</v>
      </c>
      <c r="C1136" s="3">
        <v>179.21258499999999</v>
      </c>
      <c r="D1136" s="3">
        <v>6124.2797849999997</v>
      </c>
      <c r="E1136" s="3">
        <v>198.36999499999999</v>
      </c>
      <c r="F1136" s="3">
        <f t="shared" si="102"/>
        <v>2017</v>
      </c>
      <c r="G1136" s="3" t="str">
        <f t="shared" si="103"/>
        <v>Oct</v>
      </c>
      <c r="H1136" s="3" t="str">
        <f t="shared" si="104"/>
        <v>Q4</v>
      </c>
      <c r="I1136" s="3">
        <f t="shared" si="105"/>
        <v>-5.0141307290265062E-3</v>
      </c>
      <c r="J1136" s="3">
        <f t="shared" si="106"/>
        <v>5.3387575433900616E-2</v>
      </c>
      <c r="K1136" s="3" t="str">
        <f t="shared" si="107"/>
        <v>High Volatility</v>
      </c>
      <c r="L1136" s="4">
        <f>VALUE(A1136)</f>
        <v>43038</v>
      </c>
    </row>
    <row r="1137" spans="1:12">
      <c r="A1137" s="5">
        <v>43039</v>
      </c>
      <c r="B1137" s="3">
        <v>1105.280029</v>
      </c>
      <c r="C1137" s="3">
        <v>180.49478099999999</v>
      </c>
      <c r="D1137" s="3">
        <v>6451.2402339999999</v>
      </c>
      <c r="E1137" s="3">
        <v>196.429993</v>
      </c>
      <c r="F1137" s="3">
        <f t="shared" si="102"/>
        <v>2017</v>
      </c>
      <c r="G1137" s="3" t="str">
        <f t="shared" si="103"/>
        <v>Oct</v>
      </c>
      <c r="H1137" s="3" t="str">
        <f t="shared" si="104"/>
        <v>Q4</v>
      </c>
      <c r="I1137" s="3">
        <f t="shared" si="105"/>
        <v>-1.4475743323143729E-3</v>
      </c>
      <c r="J1137" s="3">
        <f t="shared" si="106"/>
        <v>4.4416196050156245E-2</v>
      </c>
      <c r="K1137" s="3" t="str">
        <f t="shared" si="107"/>
        <v>Normal</v>
      </c>
      <c r="L1137" s="4">
        <f>VALUE(A1137)</f>
        <v>43039</v>
      </c>
    </row>
    <row r="1138" spans="1:12">
      <c r="A1138" s="5">
        <v>43040</v>
      </c>
      <c r="B1138" s="3">
        <v>1103.6800539999999</v>
      </c>
      <c r="C1138" s="3">
        <v>174.82350199999999</v>
      </c>
      <c r="D1138" s="3">
        <v>6737.7797849999997</v>
      </c>
      <c r="E1138" s="3">
        <v>198</v>
      </c>
      <c r="F1138" s="3">
        <f t="shared" si="102"/>
        <v>2017</v>
      </c>
      <c r="G1138" s="3" t="str">
        <f t="shared" si="103"/>
        <v>Nov</v>
      </c>
      <c r="H1138" s="3" t="str">
        <f t="shared" si="104"/>
        <v>Q4</v>
      </c>
      <c r="I1138" s="3">
        <f t="shared" si="105"/>
        <v>-8.5713998053279505E-3</v>
      </c>
      <c r="J1138" s="3">
        <f t="shared" si="106"/>
        <v>4.2600126919998565E-2</v>
      </c>
      <c r="K1138" s="3" t="str">
        <f t="shared" si="107"/>
        <v>Normal</v>
      </c>
      <c r="L1138" s="4">
        <f>VALUE(A1138)</f>
        <v>43040</v>
      </c>
    </row>
    <row r="1139" spans="1:12">
      <c r="A1139" s="5">
        <v>43041</v>
      </c>
      <c r="B1139" s="3">
        <v>1094.219971</v>
      </c>
      <c r="C1139" s="3">
        <v>175.652008</v>
      </c>
      <c r="D1139" s="3">
        <v>7024.8100590000004</v>
      </c>
      <c r="E1139" s="3">
        <v>199.320007</v>
      </c>
      <c r="F1139" s="3">
        <f t="shared" si="102"/>
        <v>2017</v>
      </c>
      <c r="G1139" s="3" t="str">
        <f t="shared" si="103"/>
        <v>Nov</v>
      </c>
      <c r="H1139" s="3" t="str">
        <f t="shared" si="104"/>
        <v>Q4</v>
      </c>
      <c r="I1139" s="3">
        <f t="shared" si="105"/>
        <v>1.5883465354883369E-2</v>
      </c>
      <c r="J1139" s="3">
        <f t="shared" si="106"/>
        <v>1.8122918190064622E-2</v>
      </c>
      <c r="K1139" s="3" t="str">
        <f t="shared" si="107"/>
        <v>Normal</v>
      </c>
      <c r="L1139" s="4">
        <f>VALUE(A1139)</f>
        <v>43041</v>
      </c>
    </row>
    <row r="1140" spans="1:12">
      <c r="A1140" s="5">
        <v>43042</v>
      </c>
      <c r="B1140" s="3">
        <v>1111.599976</v>
      </c>
      <c r="C1140" s="3">
        <v>175.50408899999999</v>
      </c>
      <c r="D1140" s="3">
        <v>7152.1201170000004</v>
      </c>
      <c r="E1140" s="3">
        <v>200.009995</v>
      </c>
      <c r="F1140" s="3">
        <f t="shared" si="102"/>
        <v>2017</v>
      </c>
      <c r="G1140" s="3" t="str">
        <f t="shared" si="103"/>
        <v>Nov</v>
      </c>
      <c r="H1140" s="3" t="str">
        <f t="shared" si="104"/>
        <v>Q4</v>
      </c>
      <c r="I1140" s="3">
        <f t="shared" si="105"/>
        <v>8.1504661709348811E-3</v>
      </c>
      <c r="J1140" s="3">
        <f t="shared" si="106"/>
        <v>-2.6969644503245457E-2</v>
      </c>
      <c r="K1140" s="3" t="str">
        <f t="shared" si="107"/>
        <v>Normal</v>
      </c>
      <c r="L1140" s="4">
        <f>VALUE(A1140)</f>
        <v>43042</v>
      </c>
    </row>
    <row r="1141" spans="1:12">
      <c r="A1141" s="5">
        <v>43045</v>
      </c>
      <c r="B1141" s="3">
        <v>1120.660034</v>
      </c>
      <c r="C1141" s="3">
        <v>171.08540300000001</v>
      </c>
      <c r="D1141" s="3">
        <v>6959.2299800000001</v>
      </c>
      <c r="E1141" s="3">
        <v>200.13000500000001</v>
      </c>
      <c r="F1141" s="3">
        <f t="shared" si="102"/>
        <v>2017</v>
      </c>
      <c r="G1141" s="3" t="str">
        <f t="shared" si="103"/>
        <v>Nov</v>
      </c>
      <c r="H1141" s="3" t="str">
        <f t="shared" si="104"/>
        <v>Q4</v>
      </c>
      <c r="I1141" s="3">
        <f t="shared" si="105"/>
        <v>2.2397604303250863E-3</v>
      </c>
      <c r="J1141" s="3">
        <f t="shared" si="106"/>
        <v>2.0622974152666229E-2</v>
      </c>
      <c r="K1141" s="3" t="str">
        <f t="shared" si="107"/>
        <v>Normal</v>
      </c>
      <c r="L1141" s="4">
        <f>VALUE(A1141)</f>
        <v>43045</v>
      </c>
    </row>
    <row r="1142" spans="1:12">
      <c r="A1142" s="5">
        <v>43046</v>
      </c>
      <c r="B1142" s="3">
        <v>1123.170044</v>
      </c>
      <c r="C1142" s="3">
        <v>167.77140800000001</v>
      </c>
      <c r="D1142" s="3">
        <v>7102.75</v>
      </c>
      <c r="E1142" s="3">
        <v>195.88999899999999</v>
      </c>
      <c r="F1142" s="3">
        <f t="shared" si="102"/>
        <v>2017</v>
      </c>
      <c r="G1142" s="3" t="str">
        <f t="shared" si="103"/>
        <v>Nov</v>
      </c>
      <c r="H1142" s="3" t="str">
        <f t="shared" si="104"/>
        <v>Q4</v>
      </c>
      <c r="I1142" s="3">
        <f t="shared" si="105"/>
        <v>8.6451388655447627E-3</v>
      </c>
      <c r="J1142" s="3">
        <f t="shared" si="106"/>
        <v>4.8095436697053913E-2</v>
      </c>
      <c r="K1142" s="3" t="str">
        <f t="shared" si="107"/>
        <v>Normal</v>
      </c>
      <c r="L1142" s="4">
        <f>VALUE(A1142)</f>
        <v>43046</v>
      </c>
    </row>
    <row r="1143" spans="1:12">
      <c r="A1143" s="5">
        <v>43047</v>
      </c>
      <c r="B1143" s="3">
        <v>1132.880005</v>
      </c>
      <c r="C1143" s="3">
        <v>166.40043600000001</v>
      </c>
      <c r="D1143" s="3">
        <v>7444.3598629999997</v>
      </c>
      <c r="E1143" s="3">
        <v>196.44000199999999</v>
      </c>
      <c r="F1143" s="3">
        <f t="shared" si="102"/>
        <v>2017</v>
      </c>
      <c r="G1143" s="3" t="str">
        <f t="shared" si="103"/>
        <v>Nov</v>
      </c>
      <c r="H1143" s="3" t="str">
        <f t="shared" si="104"/>
        <v>Q4</v>
      </c>
      <c r="I1143" s="3">
        <f t="shared" si="105"/>
        <v>-3.3101475738377076E-3</v>
      </c>
      <c r="J1143" s="3">
        <f t="shared" si="106"/>
        <v>-4.2283020272095032E-2</v>
      </c>
      <c r="K1143" s="3" t="str">
        <f t="shared" si="107"/>
        <v>Normal</v>
      </c>
      <c r="L1143" s="4">
        <f>VALUE(A1143)</f>
        <v>43047</v>
      </c>
    </row>
    <row r="1144" spans="1:12">
      <c r="A1144" s="5">
        <v>43048</v>
      </c>
      <c r="B1144" s="3">
        <v>1129.130005</v>
      </c>
      <c r="C1144" s="3">
        <v>170.83883700000001</v>
      </c>
      <c r="D1144" s="3">
        <v>7129.5898440000001</v>
      </c>
      <c r="E1144" s="3">
        <v>193.89999399999999</v>
      </c>
      <c r="F1144" s="3">
        <f t="shared" si="102"/>
        <v>2017</v>
      </c>
      <c r="G1144" s="3" t="str">
        <f t="shared" si="103"/>
        <v>Nov</v>
      </c>
      <c r="H1144" s="3" t="str">
        <f t="shared" si="104"/>
        <v>Q4</v>
      </c>
      <c r="I1144" s="3">
        <f t="shared" si="105"/>
        <v>-3.3477358526133693E-3</v>
      </c>
      <c r="J1144" s="3">
        <f t="shared" si="106"/>
        <v>-7.9077485709008258E-2</v>
      </c>
      <c r="K1144" s="3" t="str">
        <f t="shared" si="107"/>
        <v>High Volatility</v>
      </c>
      <c r="L1144" s="4">
        <f>VALUE(A1144)</f>
        <v>43048</v>
      </c>
    </row>
    <row r="1145" spans="1:12">
      <c r="A1145" s="5">
        <v>43049</v>
      </c>
      <c r="B1145" s="3">
        <v>1125.349976</v>
      </c>
      <c r="C1145" s="3">
        <v>170.957199</v>
      </c>
      <c r="D1145" s="3">
        <v>6565.7998049999997</v>
      </c>
      <c r="E1145" s="3">
        <v>192.020004</v>
      </c>
      <c r="F1145" s="3">
        <f t="shared" si="102"/>
        <v>2017</v>
      </c>
      <c r="G1145" s="3" t="str">
        <f t="shared" si="103"/>
        <v>Nov</v>
      </c>
      <c r="H1145" s="3" t="str">
        <f t="shared" si="104"/>
        <v>Q4</v>
      </c>
      <c r="I1145" s="3">
        <f t="shared" si="105"/>
        <v>3.3945599870879566E-3</v>
      </c>
      <c r="J1145" s="3">
        <f t="shared" si="106"/>
        <v>-6.6023350220010711E-3</v>
      </c>
      <c r="K1145" s="3" t="str">
        <f t="shared" si="107"/>
        <v>Normal</v>
      </c>
      <c r="L1145" s="4">
        <f>VALUE(A1145)</f>
        <v>43049</v>
      </c>
    </row>
    <row r="1146" spans="1:12">
      <c r="A1146" s="5">
        <v>43052</v>
      </c>
      <c r="B1146" s="3">
        <v>1129.170044</v>
      </c>
      <c r="C1146" s="3">
        <v>170.66127</v>
      </c>
      <c r="D1146" s="3">
        <v>6522.4501950000003</v>
      </c>
      <c r="E1146" s="3">
        <v>195.08000200000001</v>
      </c>
      <c r="F1146" s="3">
        <f t="shared" si="102"/>
        <v>2017</v>
      </c>
      <c r="G1146" s="3" t="str">
        <f t="shared" si="103"/>
        <v>Nov</v>
      </c>
      <c r="H1146" s="3" t="str">
        <f t="shared" si="104"/>
        <v>Q4</v>
      </c>
      <c r="I1146" s="3">
        <f t="shared" si="105"/>
        <v>6.7925305322747674E-3</v>
      </c>
      <c r="J1146" s="3">
        <f t="shared" si="106"/>
        <v>1.1438931961058848E-2</v>
      </c>
      <c r="K1146" s="3" t="str">
        <f t="shared" si="107"/>
        <v>Normal</v>
      </c>
      <c r="L1146" s="4">
        <f>VALUE(A1146)</f>
        <v>43052</v>
      </c>
    </row>
    <row r="1147" spans="1:12">
      <c r="A1147" s="5">
        <v>43053</v>
      </c>
      <c r="B1147" s="3">
        <v>1136.839966</v>
      </c>
      <c r="C1147" s="3">
        <v>173.25528</v>
      </c>
      <c r="D1147" s="3">
        <v>6597.0600590000004</v>
      </c>
      <c r="E1147" s="3">
        <v>195.71000699999999</v>
      </c>
      <c r="F1147" s="3">
        <f t="shared" si="102"/>
        <v>2017</v>
      </c>
      <c r="G1147" s="3" t="str">
        <f t="shared" si="103"/>
        <v>Nov</v>
      </c>
      <c r="H1147" s="3" t="str">
        <f t="shared" si="104"/>
        <v>Q4</v>
      </c>
      <c r="I1147" s="3">
        <f t="shared" si="105"/>
        <v>-8.9282795323540852E-3</v>
      </c>
      <c r="J1147" s="3">
        <f t="shared" si="106"/>
        <v>0.1040099907933853</v>
      </c>
      <c r="K1147" s="3" t="str">
        <f t="shared" si="107"/>
        <v>High Volatility</v>
      </c>
      <c r="L1147" s="4">
        <f>VALUE(A1147)</f>
        <v>43053</v>
      </c>
    </row>
    <row r="1148" spans="1:12">
      <c r="A1148" s="5">
        <v>43054</v>
      </c>
      <c r="B1148" s="3">
        <v>1126.6899410000001</v>
      </c>
      <c r="C1148" s="3">
        <v>173.35391200000001</v>
      </c>
      <c r="D1148" s="3">
        <v>7283.2202150000003</v>
      </c>
      <c r="E1148" s="3">
        <v>192.11999499999999</v>
      </c>
      <c r="F1148" s="3">
        <f t="shared" si="102"/>
        <v>2017</v>
      </c>
      <c r="G1148" s="3" t="str">
        <f t="shared" si="103"/>
        <v>Nov</v>
      </c>
      <c r="H1148" s="3" t="str">
        <f t="shared" si="104"/>
        <v>Q4</v>
      </c>
      <c r="I1148" s="3">
        <f t="shared" si="105"/>
        <v>9.4081766546985513E-3</v>
      </c>
      <c r="J1148" s="3">
        <f t="shared" si="106"/>
        <v>7.8325238584042944E-2</v>
      </c>
      <c r="K1148" s="3" t="str">
        <f t="shared" si="107"/>
        <v>High Volatility</v>
      </c>
      <c r="L1148" s="4">
        <f>VALUE(A1148)</f>
        <v>43054</v>
      </c>
    </row>
    <row r="1149" spans="1:12">
      <c r="A1149" s="5">
        <v>43055</v>
      </c>
      <c r="B1149" s="3">
        <v>1137.290039</v>
      </c>
      <c r="C1149" s="3">
        <v>175.040527</v>
      </c>
      <c r="D1149" s="3">
        <v>7853.6801759999998</v>
      </c>
      <c r="E1149" s="3">
        <v>195.509995</v>
      </c>
      <c r="F1149" s="3">
        <f t="shared" si="102"/>
        <v>2017</v>
      </c>
      <c r="G1149" s="3" t="str">
        <f t="shared" si="103"/>
        <v>Nov</v>
      </c>
      <c r="H1149" s="3" t="str">
        <f t="shared" si="104"/>
        <v>Q4</v>
      </c>
      <c r="I1149" s="3">
        <f t="shared" si="105"/>
        <v>-6.5155182459133414E-3</v>
      </c>
      <c r="J1149" s="3">
        <f t="shared" si="106"/>
        <v>-1.9574260417400464E-2</v>
      </c>
      <c r="K1149" s="3" t="str">
        <f t="shared" si="107"/>
        <v>Normal</v>
      </c>
      <c r="L1149" s="4">
        <f>VALUE(A1149)</f>
        <v>43055</v>
      </c>
    </row>
    <row r="1150" spans="1:12">
      <c r="A1150" s="5">
        <v>43056</v>
      </c>
      <c r="B1150" s="3">
        <v>1129.880005</v>
      </c>
      <c r="C1150" s="3">
        <v>176.20436100000001</v>
      </c>
      <c r="D1150" s="3">
        <v>7699.9501950000003</v>
      </c>
      <c r="E1150" s="3">
        <v>193.199997</v>
      </c>
      <c r="F1150" s="3">
        <f t="shared" si="102"/>
        <v>2017</v>
      </c>
      <c r="G1150" s="3" t="str">
        <f t="shared" si="103"/>
        <v>Nov</v>
      </c>
      <c r="H1150" s="3" t="str">
        <f t="shared" si="104"/>
        <v>Q4</v>
      </c>
      <c r="I1150" s="3">
        <f t="shared" si="105"/>
        <v>-3.1595797644016835E-3</v>
      </c>
      <c r="J1150" s="3">
        <f t="shared" si="106"/>
        <v>7.0745942662555128E-2</v>
      </c>
      <c r="K1150" s="3" t="str">
        <f t="shared" si="107"/>
        <v>High Volatility</v>
      </c>
      <c r="L1150" s="4">
        <f>VALUE(A1150)</f>
        <v>43056</v>
      </c>
    </row>
    <row r="1151" spans="1:12">
      <c r="A1151" s="5">
        <v>43059</v>
      </c>
      <c r="B1151" s="3">
        <v>1126.3100589999999</v>
      </c>
      <c r="C1151" s="3">
        <v>175.33637999999999</v>
      </c>
      <c r="D1151" s="3">
        <v>8244.6904300000006</v>
      </c>
      <c r="E1151" s="3">
        <v>194.10000600000001</v>
      </c>
      <c r="F1151" s="3">
        <f t="shared" si="102"/>
        <v>2017</v>
      </c>
      <c r="G1151" s="3" t="str">
        <f t="shared" si="103"/>
        <v>Nov</v>
      </c>
      <c r="H1151" s="3" t="str">
        <f t="shared" si="104"/>
        <v>Q4</v>
      </c>
      <c r="I1151" s="3">
        <f t="shared" si="105"/>
        <v>1.1701867434001249E-2</v>
      </c>
      <c r="J1151" s="3">
        <f t="shared" si="106"/>
        <v>-1.7553141167484718E-2</v>
      </c>
      <c r="K1151" s="3" t="str">
        <f t="shared" si="107"/>
        <v>Normal</v>
      </c>
      <c r="L1151" s="4">
        <f>VALUE(A1151)</f>
        <v>43059</v>
      </c>
    </row>
    <row r="1152" spans="1:12">
      <c r="A1152" s="5">
        <v>43060</v>
      </c>
      <c r="B1152" s="3">
        <v>1139.48999</v>
      </c>
      <c r="C1152" s="3">
        <v>174.45858799999999</v>
      </c>
      <c r="D1152" s="3">
        <v>8099.9702150000003</v>
      </c>
      <c r="E1152" s="3">
        <v>196.229996</v>
      </c>
      <c r="F1152" s="3">
        <f t="shared" si="102"/>
        <v>2017</v>
      </c>
      <c r="G1152" s="3" t="str">
        <f t="shared" si="103"/>
        <v>Nov</v>
      </c>
      <c r="H1152" s="3" t="str">
        <f t="shared" si="104"/>
        <v>Q4</v>
      </c>
      <c r="I1152" s="3">
        <f t="shared" si="105"/>
        <v>1.4629390469678422E-2</v>
      </c>
      <c r="J1152" s="3">
        <f t="shared" si="106"/>
        <v>1.6614825292910078E-2</v>
      </c>
      <c r="K1152" s="3" t="str">
        <f t="shared" si="107"/>
        <v>Normal</v>
      </c>
      <c r="L1152" s="4">
        <f>VALUE(A1152)</f>
        <v>43060</v>
      </c>
    </row>
    <row r="1153" spans="1:12">
      <c r="A1153" s="5">
        <v>43061</v>
      </c>
      <c r="B1153" s="3">
        <v>1156.160034</v>
      </c>
      <c r="C1153" s="3">
        <v>174.13310200000001</v>
      </c>
      <c r="D1153" s="3">
        <v>8234.5498050000006</v>
      </c>
      <c r="E1153" s="3">
        <v>196.320007</v>
      </c>
      <c r="F1153" s="3">
        <f t="shared" si="102"/>
        <v>2017</v>
      </c>
      <c r="G1153" s="3" t="str">
        <f t="shared" si="103"/>
        <v>Nov</v>
      </c>
      <c r="H1153" s="3" t="str">
        <f t="shared" si="104"/>
        <v>Q4</v>
      </c>
      <c r="I1153" s="3">
        <f t="shared" si="105"/>
        <v>2.5809546362506423E-2</v>
      </c>
      <c r="J1153" s="3">
        <f t="shared" si="106"/>
        <v>-4.0985847191678986E-3</v>
      </c>
      <c r="K1153" s="3" t="str">
        <f t="shared" si="107"/>
        <v>Normal</v>
      </c>
      <c r="L1153" s="4">
        <f>VALUE(A1153)</f>
        <v>43061</v>
      </c>
    </row>
    <row r="1154" spans="1:12">
      <c r="A1154" s="5">
        <v>43063</v>
      </c>
      <c r="B1154" s="3">
        <v>1186</v>
      </c>
      <c r="C1154" s="3">
        <v>174.91227699999999</v>
      </c>
      <c r="D1154" s="3">
        <v>8200.7998050000006</v>
      </c>
      <c r="E1154" s="3">
        <v>195.75</v>
      </c>
      <c r="F1154" s="3">
        <f t="shared" si="102"/>
        <v>2017</v>
      </c>
      <c r="G1154" s="3" t="str">
        <f t="shared" si="103"/>
        <v>Nov</v>
      </c>
      <c r="H1154" s="3" t="str">
        <f t="shared" si="104"/>
        <v>Q4</v>
      </c>
      <c r="I1154" s="3">
        <f t="shared" si="105"/>
        <v>8.2883271500843493E-3</v>
      </c>
      <c r="J1154" s="3">
        <f t="shared" si="106"/>
        <v>0.18685987055380859</v>
      </c>
      <c r="K1154" s="3" t="str">
        <f t="shared" si="107"/>
        <v>High Volatility</v>
      </c>
      <c r="L1154" s="4">
        <f>VALUE(A1154)</f>
        <v>43063</v>
      </c>
    </row>
    <row r="1155" spans="1:12">
      <c r="A1155" s="5">
        <v>43066</v>
      </c>
      <c r="B1155" s="3">
        <v>1195.829956</v>
      </c>
      <c r="C1155" s="3">
        <v>172.13088999999999</v>
      </c>
      <c r="D1155" s="3">
        <v>9733.2001949999994</v>
      </c>
      <c r="E1155" s="3">
        <v>195.050003</v>
      </c>
      <c r="F1155" s="3">
        <f t="shared" ref="F1155:F1218" si="108">YEAR(A1155)</f>
        <v>2017</v>
      </c>
      <c r="G1155" s="3" t="str">
        <f t="shared" ref="G1155:G1218" si="109">TEXT(A1155,"MMM")</f>
        <v>Nov</v>
      </c>
      <c r="H1155" s="3" t="str">
        <f t="shared" ref="H1155:H1218" si="110">"Q"&amp;ROUNDUP(MONTH(A1155)/3,0)</f>
        <v>Q4</v>
      </c>
      <c r="I1155" s="3">
        <f t="shared" ref="I1155:I1218" si="111">(B1156-B1155)/B1155</f>
        <v>-1.8647969042850008E-3</v>
      </c>
      <c r="J1155" s="3">
        <f t="shared" ref="J1155:J1218" si="112">(D1156-D1155)/D1155</f>
        <v>1.7757761120416375E-2</v>
      </c>
      <c r="K1155" s="3" t="str">
        <f t="shared" ref="K1155:K1218" si="113">IF(J1155="","",IF(ABS(J1155)&gt;0.05,"High Volatility","Normal"))</f>
        <v>Normal</v>
      </c>
      <c r="L1155" s="4">
        <f>VALUE(A1155)</f>
        <v>43066</v>
      </c>
    </row>
    <row r="1156" spans="1:12">
      <c r="A1156" s="5">
        <v>43067</v>
      </c>
      <c r="B1156" s="3">
        <v>1193.599976</v>
      </c>
      <c r="C1156" s="3">
        <v>169.93141199999999</v>
      </c>
      <c r="D1156" s="3">
        <v>9906.0400389999995</v>
      </c>
      <c r="E1156" s="3">
        <v>199.179993</v>
      </c>
      <c r="F1156" s="3">
        <f t="shared" si="108"/>
        <v>2017</v>
      </c>
      <c r="G1156" s="3" t="str">
        <f t="shared" si="109"/>
        <v>Nov</v>
      </c>
      <c r="H1156" s="3" t="str">
        <f t="shared" si="110"/>
        <v>Q4</v>
      </c>
      <c r="I1156" s="3">
        <f t="shared" si="111"/>
        <v>-2.7086089686717652E-2</v>
      </c>
      <c r="J1156" s="3">
        <f t="shared" si="112"/>
        <v>-6.8826379392347451E-3</v>
      </c>
      <c r="K1156" s="3" t="str">
        <f t="shared" si="113"/>
        <v>Normal</v>
      </c>
      <c r="L1156" s="4">
        <f>VALUE(A1156)</f>
        <v>43067</v>
      </c>
    </row>
    <row r="1157" spans="1:12">
      <c r="A1157" s="5">
        <v>43068</v>
      </c>
      <c r="B1157" s="3">
        <v>1161.2700199999999</v>
      </c>
      <c r="C1157" s="3">
        <v>176.71722399999999</v>
      </c>
      <c r="D1157" s="3">
        <v>9837.8603519999997</v>
      </c>
      <c r="E1157" s="3">
        <v>188.14999399999999</v>
      </c>
      <c r="F1157" s="3">
        <f t="shared" si="108"/>
        <v>2017</v>
      </c>
      <c r="G1157" s="3" t="str">
        <f t="shared" si="109"/>
        <v>Nov</v>
      </c>
      <c r="H1157" s="3" t="str">
        <f t="shared" si="110"/>
        <v>Q4</v>
      </c>
      <c r="I1157" s="3">
        <f t="shared" si="111"/>
        <v>1.333021582697887E-2</v>
      </c>
      <c r="J1157" s="3">
        <f t="shared" si="112"/>
        <v>1.1069420595898242E-2</v>
      </c>
      <c r="K1157" s="3" t="str">
        <f t="shared" si="113"/>
        <v>Normal</v>
      </c>
      <c r="L1157" s="4">
        <f>VALUE(A1157)</f>
        <v>43068</v>
      </c>
    </row>
    <row r="1158" spans="1:12">
      <c r="A1158" s="5">
        <v>43069</v>
      </c>
      <c r="B1158" s="3">
        <v>1176.75</v>
      </c>
      <c r="C1158" s="3">
        <v>183.611557</v>
      </c>
      <c r="D1158" s="3">
        <v>9946.7597659999992</v>
      </c>
      <c r="E1158" s="3">
        <v>187.58000200000001</v>
      </c>
      <c r="F1158" s="3">
        <f t="shared" si="108"/>
        <v>2017</v>
      </c>
      <c r="G1158" s="3" t="str">
        <f t="shared" si="109"/>
        <v>Nov</v>
      </c>
      <c r="H1158" s="3" t="str">
        <f t="shared" si="110"/>
        <v>Q4</v>
      </c>
      <c r="I1158" s="3">
        <f t="shared" si="111"/>
        <v>-1.2237114085404743E-2</v>
      </c>
      <c r="J1158" s="3">
        <f t="shared" si="112"/>
        <v>9.1960596769076683E-2</v>
      </c>
      <c r="K1158" s="3" t="str">
        <f t="shared" si="113"/>
        <v>High Volatility</v>
      </c>
      <c r="L1158" s="4">
        <f>VALUE(A1158)</f>
        <v>43069</v>
      </c>
    </row>
    <row r="1159" spans="1:12">
      <c r="A1159" s="5">
        <v>43070</v>
      </c>
      <c r="B1159" s="3">
        <v>1162.349976</v>
      </c>
      <c r="C1159" s="3">
        <v>182.09262100000001</v>
      </c>
      <c r="D1159" s="3">
        <v>10861.469730000001</v>
      </c>
      <c r="E1159" s="3">
        <v>186.820007</v>
      </c>
      <c r="F1159" s="3">
        <f t="shared" si="108"/>
        <v>2017</v>
      </c>
      <c r="G1159" s="3" t="str">
        <f t="shared" si="109"/>
        <v>Dec</v>
      </c>
      <c r="H1159" s="3" t="str">
        <f t="shared" si="110"/>
        <v>Q4</v>
      </c>
      <c r="I1159" s="3">
        <f t="shared" si="111"/>
        <v>-2.4433282218263595E-2</v>
      </c>
      <c r="J1159" s="3">
        <f t="shared" si="112"/>
        <v>7.0196801073255738E-2</v>
      </c>
      <c r="K1159" s="3" t="str">
        <f t="shared" si="113"/>
        <v>High Volatility</v>
      </c>
      <c r="L1159" s="4">
        <f>VALUE(A1159)</f>
        <v>43070</v>
      </c>
    </row>
    <row r="1160" spans="1:12">
      <c r="A1160" s="5">
        <v>43073</v>
      </c>
      <c r="B1160" s="3">
        <v>1133.9499510000001</v>
      </c>
      <c r="C1160" s="3">
        <v>185.05154400000001</v>
      </c>
      <c r="D1160" s="3">
        <v>11623.910159999999</v>
      </c>
      <c r="E1160" s="3">
        <v>184.03999300000001</v>
      </c>
      <c r="F1160" s="3">
        <f t="shared" si="108"/>
        <v>2017</v>
      </c>
      <c r="G1160" s="3" t="str">
        <f t="shared" si="109"/>
        <v>Dec</v>
      </c>
      <c r="H1160" s="3" t="str">
        <f t="shared" si="110"/>
        <v>Q4</v>
      </c>
      <c r="I1160" s="3">
        <f t="shared" si="111"/>
        <v>6.7198688912858528E-3</v>
      </c>
      <c r="J1160" s="3">
        <f t="shared" si="112"/>
        <v>3.7181739539529409E-3</v>
      </c>
      <c r="K1160" s="3" t="str">
        <f t="shared" si="113"/>
        <v>Normal</v>
      </c>
      <c r="L1160" s="4">
        <f>VALUE(A1160)</f>
        <v>43073</v>
      </c>
    </row>
    <row r="1161" spans="1:12">
      <c r="A1161" s="5">
        <v>43074</v>
      </c>
      <c r="B1161" s="3">
        <v>1141.5699460000001</v>
      </c>
      <c r="C1161" s="3">
        <v>182.96057099999999</v>
      </c>
      <c r="D1161" s="3">
        <v>11667.12988</v>
      </c>
      <c r="E1161" s="3">
        <v>184.21000699999999</v>
      </c>
      <c r="F1161" s="3">
        <f t="shared" si="108"/>
        <v>2017</v>
      </c>
      <c r="G1161" s="3" t="str">
        <f t="shared" si="109"/>
        <v>Dec</v>
      </c>
      <c r="H1161" s="3" t="str">
        <f t="shared" si="110"/>
        <v>Q4</v>
      </c>
      <c r="I1161" s="3">
        <f t="shared" si="111"/>
        <v>9.4431620574565271E-3</v>
      </c>
      <c r="J1161" s="3">
        <f t="shared" si="112"/>
        <v>0.17848780732009806</v>
      </c>
      <c r="K1161" s="3" t="str">
        <f t="shared" si="113"/>
        <v>High Volatility</v>
      </c>
      <c r="L1161" s="4">
        <f>VALUE(A1161)</f>
        <v>43074</v>
      </c>
    </row>
    <row r="1162" spans="1:12">
      <c r="A1162" s="5">
        <v>43075</v>
      </c>
      <c r="B1162" s="3">
        <v>1152.349976</v>
      </c>
      <c r="C1162" s="3">
        <v>178.68985000000001</v>
      </c>
      <c r="D1162" s="3">
        <v>13749.570309999999</v>
      </c>
      <c r="E1162" s="3">
        <v>185.300003</v>
      </c>
      <c r="F1162" s="3">
        <f t="shared" si="108"/>
        <v>2017</v>
      </c>
      <c r="G1162" s="3" t="str">
        <f t="shared" si="109"/>
        <v>Dec</v>
      </c>
      <c r="H1162" s="3" t="str">
        <f t="shared" si="110"/>
        <v>Q4</v>
      </c>
      <c r="I1162" s="3">
        <f t="shared" si="111"/>
        <v>6.4564265674094219E-3</v>
      </c>
      <c r="J1162" s="3">
        <f t="shared" si="112"/>
        <v>0.22551542848905212</v>
      </c>
      <c r="K1162" s="3" t="str">
        <f t="shared" si="113"/>
        <v>High Volatility</v>
      </c>
      <c r="L1162" s="4">
        <f>VALUE(A1162)</f>
        <v>43075</v>
      </c>
    </row>
    <row r="1163" spans="1:12">
      <c r="A1163" s="5">
        <v>43076</v>
      </c>
      <c r="B1163" s="3">
        <v>1159.790039</v>
      </c>
      <c r="C1163" s="3">
        <v>177.05256700000001</v>
      </c>
      <c r="D1163" s="3">
        <v>16850.310549999998</v>
      </c>
      <c r="E1163" s="3">
        <v>185.199997</v>
      </c>
      <c r="F1163" s="3">
        <f t="shared" si="108"/>
        <v>2017</v>
      </c>
      <c r="G1163" s="3" t="str">
        <f t="shared" si="109"/>
        <v>Dec</v>
      </c>
      <c r="H1163" s="3" t="str">
        <f t="shared" si="110"/>
        <v>Q4</v>
      </c>
      <c r="I1163" s="3">
        <f t="shared" si="111"/>
        <v>1.905483687293525E-3</v>
      </c>
      <c r="J1163" s="3">
        <f t="shared" si="112"/>
        <v>-4.7637116100509941E-2</v>
      </c>
      <c r="K1163" s="3" t="str">
        <f t="shared" si="113"/>
        <v>Normal</v>
      </c>
      <c r="L1163" s="4">
        <f>VALUE(A1163)</f>
        <v>43076</v>
      </c>
    </row>
    <row r="1164" spans="1:12">
      <c r="A1164" s="5">
        <v>43077</v>
      </c>
      <c r="B1164" s="3">
        <v>1162</v>
      </c>
      <c r="C1164" s="3">
        <v>181.39233400000001</v>
      </c>
      <c r="D1164" s="3">
        <v>16047.610350000001</v>
      </c>
      <c r="E1164" s="3">
        <v>188.53999300000001</v>
      </c>
      <c r="F1164" s="3">
        <f t="shared" si="108"/>
        <v>2017</v>
      </c>
      <c r="G1164" s="3" t="str">
        <f t="shared" si="109"/>
        <v>Dec</v>
      </c>
      <c r="H1164" s="3" t="str">
        <f t="shared" si="110"/>
        <v>Q4</v>
      </c>
      <c r="I1164" s="3">
        <f t="shared" si="111"/>
        <v>5.9552874354560775E-3</v>
      </c>
      <c r="J1164" s="3">
        <f t="shared" si="112"/>
        <v>4.2676780845442248E-2</v>
      </c>
      <c r="K1164" s="3" t="str">
        <f t="shared" si="113"/>
        <v>Normal</v>
      </c>
      <c r="L1164" s="4">
        <f>VALUE(A1164)</f>
        <v>43077</v>
      </c>
    </row>
    <row r="1165" spans="1:12">
      <c r="A1165" s="5">
        <v>43080</v>
      </c>
      <c r="B1165" s="3">
        <v>1168.920044</v>
      </c>
      <c r="C1165" s="3">
        <v>178.482742</v>
      </c>
      <c r="D1165" s="3">
        <v>16732.470700000002</v>
      </c>
      <c r="E1165" s="3">
        <v>186.220001</v>
      </c>
      <c r="F1165" s="3">
        <f t="shared" si="108"/>
        <v>2017</v>
      </c>
      <c r="G1165" s="3" t="str">
        <f t="shared" si="109"/>
        <v>Dec</v>
      </c>
      <c r="H1165" s="3" t="str">
        <f t="shared" si="110"/>
        <v>Q4</v>
      </c>
      <c r="I1165" s="3">
        <f t="shared" si="111"/>
        <v>-3.2851588264833651E-3</v>
      </c>
      <c r="J1165" s="3">
        <f t="shared" si="112"/>
        <v>2.1002857037723494E-2</v>
      </c>
      <c r="K1165" s="3" t="str">
        <f t="shared" si="113"/>
        <v>Normal</v>
      </c>
      <c r="L1165" s="4">
        <f>VALUE(A1165)</f>
        <v>43080</v>
      </c>
    </row>
    <row r="1166" spans="1:12">
      <c r="A1166" s="5">
        <v>43081</v>
      </c>
      <c r="B1166" s="3">
        <v>1165.079956</v>
      </c>
      <c r="C1166" s="3">
        <v>178.13751199999999</v>
      </c>
      <c r="D1166" s="3">
        <v>17083.900389999999</v>
      </c>
      <c r="E1166" s="3">
        <v>185.729996</v>
      </c>
      <c r="F1166" s="3">
        <f t="shared" si="108"/>
        <v>2017</v>
      </c>
      <c r="G1166" s="3" t="str">
        <f t="shared" si="109"/>
        <v>Dec</v>
      </c>
      <c r="H1166" s="3" t="str">
        <f t="shared" si="110"/>
        <v>Q4</v>
      </c>
      <c r="I1166" s="3">
        <f t="shared" si="111"/>
        <v>-8.1535262460566741E-4</v>
      </c>
      <c r="J1166" s="3">
        <f t="shared" si="112"/>
        <v>-4.6656797441090664E-2</v>
      </c>
      <c r="K1166" s="3" t="str">
        <f t="shared" si="113"/>
        <v>Normal</v>
      </c>
      <c r="L1166" s="4">
        <f>VALUE(A1166)</f>
        <v>43081</v>
      </c>
    </row>
    <row r="1167" spans="1:12">
      <c r="A1167" s="5">
        <v>43082</v>
      </c>
      <c r="B1167" s="3">
        <v>1164.130005</v>
      </c>
      <c r="C1167" s="3">
        <v>178.038895</v>
      </c>
      <c r="D1167" s="3">
        <v>16286.820309999999</v>
      </c>
      <c r="E1167" s="3">
        <v>187.86000100000001</v>
      </c>
      <c r="F1167" s="3">
        <f t="shared" si="108"/>
        <v>2017</v>
      </c>
      <c r="G1167" s="3" t="str">
        <f t="shared" si="109"/>
        <v>Dec</v>
      </c>
      <c r="H1167" s="3" t="str">
        <f t="shared" si="110"/>
        <v>Q4</v>
      </c>
      <c r="I1167" s="3">
        <f t="shared" si="111"/>
        <v>8.7017815505923517E-3</v>
      </c>
      <c r="J1167" s="3">
        <f t="shared" si="112"/>
        <v>1.1118797073533889E-2</v>
      </c>
      <c r="K1167" s="3" t="str">
        <f t="shared" si="113"/>
        <v>Normal</v>
      </c>
      <c r="L1167" s="4">
        <f>VALUE(A1167)</f>
        <v>43082</v>
      </c>
    </row>
    <row r="1168" spans="1:12">
      <c r="A1168" s="5">
        <v>43083</v>
      </c>
      <c r="B1168" s="3">
        <v>1174.26001</v>
      </c>
      <c r="C1168" s="3">
        <v>180.481323</v>
      </c>
      <c r="D1168" s="3">
        <v>16467.910159999999</v>
      </c>
      <c r="E1168" s="3">
        <v>189.55999800000001</v>
      </c>
      <c r="F1168" s="3">
        <f t="shared" si="108"/>
        <v>2017</v>
      </c>
      <c r="G1168" s="3" t="str">
        <f t="shared" si="109"/>
        <v>Dec</v>
      </c>
      <c r="H1168" s="3" t="str">
        <f t="shared" si="110"/>
        <v>Q4</v>
      </c>
      <c r="I1168" s="3">
        <f t="shared" si="111"/>
        <v>4.1558129872786721E-3</v>
      </c>
      <c r="J1168" s="3">
        <f t="shared" si="112"/>
        <v>6.9039692283577633E-2</v>
      </c>
      <c r="K1168" s="3" t="str">
        <f t="shared" si="113"/>
        <v>High Volatility</v>
      </c>
      <c r="L1168" s="4">
        <f>VALUE(A1168)</f>
        <v>43083</v>
      </c>
    </row>
    <row r="1169" spans="1:12">
      <c r="A1169" s="5">
        <v>43084</v>
      </c>
      <c r="B1169" s="3">
        <v>1179.1400149999999</v>
      </c>
      <c r="C1169" s="3">
        <v>182.97314499999999</v>
      </c>
      <c r="D1169" s="3">
        <v>17604.849610000001</v>
      </c>
      <c r="E1169" s="3">
        <v>190.11999499999999</v>
      </c>
      <c r="F1169" s="3">
        <f t="shared" si="108"/>
        <v>2017</v>
      </c>
      <c r="G1169" s="3" t="str">
        <f t="shared" si="109"/>
        <v>Dec</v>
      </c>
      <c r="H1169" s="3" t="str">
        <f t="shared" si="110"/>
        <v>Q4</v>
      </c>
      <c r="I1169" s="3">
        <f t="shared" si="111"/>
        <v>9.7019360334405155E-3</v>
      </c>
      <c r="J1169" s="3">
        <f t="shared" si="112"/>
        <v>7.7675795607094533E-2</v>
      </c>
      <c r="K1169" s="3" t="str">
        <f t="shared" si="113"/>
        <v>High Volatility</v>
      </c>
      <c r="L1169" s="4">
        <f>VALUE(A1169)</f>
        <v>43084</v>
      </c>
    </row>
    <row r="1170" spans="1:12">
      <c r="A1170" s="5">
        <v>43087</v>
      </c>
      <c r="B1170" s="3">
        <v>1190.579956</v>
      </c>
      <c r="C1170" s="3">
        <v>183.92243999999999</v>
      </c>
      <c r="D1170" s="3">
        <v>18972.320309999999</v>
      </c>
      <c r="E1170" s="3">
        <v>190.41999799999999</v>
      </c>
      <c r="F1170" s="3">
        <f t="shared" si="108"/>
        <v>2017</v>
      </c>
      <c r="G1170" s="3" t="str">
        <f t="shared" si="109"/>
        <v>Dec</v>
      </c>
      <c r="H1170" s="3" t="str">
        <f t="shared" si="110"/>
        <v>Q4</v>
      </c>
      <c r="I1170" s="3">
        <f t="shared" si="111"/>
        <v>-2.6877245697558639E-3</v>
      </c>
      <c r="J1170" s="3">
        <f t="shared" si="112"/>
        <v>-7.6354450395635376E-2</v>
      </c>
      <c r="K1170" s="3" t="str">
        <f t="shared" si="113"/>
        <v>High Volatility</v>
      </c>
      <c r="L1170" s="4">
        <f>VALUE(A1170)</f>
        <v>43087</v>
      </c>
    </row>
    <row r="1171" spans="1:12">
      <c r="A1171" s="5">
        <v>43088</v>
      </c>
      <c r="B1171" s="3">
        <v>1187.380005</v>
      </c>
      <c r="C1171" s="3">
        <v>184.97058100000001</v>
      </c>
      <c r="D1171" s="3">
        <v>17523.699219999999</v>
      </c>
      <c r="E1171" s="3">
        <v>187.020004</v>
      </c>
      <c r="F1171" s="3">
        <f t="shared" si="108"/>
        <v>2017</v>
      </c>
      <c r="G1171" s="3" t="str">
        <f t="shared" si="109"/>
        <v>Dec</v>
      </c>
      <c r="H1171" s="3" t="str">
        <f t="shared" si="110"/>
        <v>Q4</v>
      </c>
      <c r="I1171" s="3">
        <f t="shared" si="111"/>
        <v>-8.2197863859093407E-3</v>
      </c>
      <c r="J1171" s="3">
        <f t="shared" si="112"/>
        <v>-6.0588150177117515E-2</v>
      </c>
      <c r="K1171" s="3" t="str">
        <f t="shared" si="113"/>
        <v>High Volatility</v>
      </c>
      <c r="L1171" s="4">
        <f>VALUE(A1171)</f>
        <v>43088</v>
      </c>
    </row>
    <row r="1172" spans="1:12">
      <c r="A1172" s="5">
        <v>43089</v>
      </c>
      <c r="B1172" s="3">
        <v>1177.619995</v>
      </c>
      <c r="C1172" s="3">
        <v>181.56899999999999</v>
      </c>
      <c r="D1172" s="3">
        <v>16461.970700000002</v>
      </c>
      <c r="E1172" s="3">
        <v>188.820007</v>
      </c>
      <c r="F1172" s="3">
        <f t="shared" si="108"/>
        <v>2017</v>
      </c>
      <c r="G1172" s="3" t="str">
        <f t="shared" si="109"/>
        <v>Dec</v>
      </c>
      <c r="H1172" s="3" t="str">
        <f t="shared" si="110"/>
        <v>Q4</v>
      </c>
      <c r="I1172" s="3">
        <f t="shared" si="111"/>
        <v>-2.4286145039512951E-3</v>
      </c>
      <c r="J1172" s="3">
        <f t="shared" si="112"/>
        <v>-5.0410160188172487E-2</v>
      </c>
      <c r="K1172" s="3" t="str">
        <f t="shared" si="113"/>
        <v>High Volatility</v>
      </c>
      <c r="L1172" s="4">
        <f>VALUE(A1172)</f>
        <v>43089</v>
      </c>
    </row>
    <row r="1173" spans="1:12">
      <c r="A1173" s="5">
        <v>43090</v>
      </c>
      <c r="B1173" s="3">
        <v>1174.76001</v>
      </c>
      <c r="C1173" s="3">
        <v>186.28573600000001</v>
      </c>
      <c r="D1173" s="3">
        <v>15632.12012</v>
      </c>
      <c r="E1173" s="3">
        <v>188.61999499999999</v>
      </c>
      <c r="F1173" s="3">
        <f t="shared" si="108"/>
        <v>2017</v>
      </c>
      <c r="G1173" s="3" t="str">
        <f t="shared" si="109"/>
        <v>Dec</v>
      </c>
      <c r="H1173" s="3" t="str">
        <f t="shared" si="110"/>
        <v>Q4</v>
      </c>
      <c r="I1173" s="3">
        <f t="shared" si="111"/>
        <v>-5.4479425121050163E-3</v>
      </c>
      <c r="J1173" s="3">
        <f t="shared" si="112"/>
        <v>-0.12584028109425754</v>
      </c>
      <c r="K1173" s="3" t="str">
        <f t="shared" si="113"/>
        <v>High Volatility</v>
      </c>
      <c r="L1173" s="4">
        <f>VALUE(A1173)</f>
        <v>43090</v>
      </c>
    </row>
    <row r="1174" spans="1:12">
      <c r="A1174" s="5">
        <v>43091</v>
      </c>
      <c r="B1174" s="3">
        <v>1168.3599850000001</v>
      </c>
      <c r="C1174" s="3">
        <v>190.715698</v>
      </c>
      <c r="D1174" s="3">
        <v>13664.969730000001</v>
      </c>
      <c r="E1174" s="3">
        <v>189.94000199999999</v>
      </c>
      <c r="F1174" s="3">
        <f t="shared" si="108"/>
        <v>2017</v>
      </c>
      <c r="G1174" s="3" t="str">
        <f t="shared" si="109"/>
        <v>Dec</v>
      </c>
      <c r="H1174" s="3" t="str">
        <f t="shared" si="110"/>
        <v>Q4</v>
      </c>
      <c r="I1174" s="3">
        <f t="shared" si="111"/>
        <v>7.1895863499638031E-3</v>
      </c>
      <c r="J1174" s="3">
        <f t="shared" si="112"/>
        <v>0.15306216415599763</v>
      </c>
      <c r="K1174" s="3" t="str">
        <f t="shared" si="113"/>
        <v>High Volatility</v>
      </c>
      <c r="L1174" s="4">
        <f>VALUE(A1174)</f>
        <v>43091</v>
      </c>
    </row>
    <row r="1175" spans="1:12">
      <c r="A1175" s="5">
        <v>43095</v>
      </c>
      <c r="B1175" s="3">
        <v>1176.76001</v>
      </c>
      <c r="C1175" s="3">
        <v>188.243607</v>
      </c>
      <c r="D1175" s="3">
        <v>15756.559569999999</v>
      </c>
      <c r="E1175" s="3">
        <v>187.759995</v>
      </c>
      <c r="F1175" s="3">
        <f t="shared" si="108"/>
        <v>2017</v>
      </c>
      <c r="G1175" s="3" t="str">
        <f t="shared" si="109"/>
        <v>Dec</v>
      </c>
      <c r="H1175" s="3" t="str">
        <f t="shared" si="110"/>
        <v>Q4</v>
      </c>
      <c r="I1175" s="3">
        <f t="shared" si="111"/>
        <v>4.6738501931247647E-3</v>
      </c>
      <c r="J1175" s="3">
        <f t="shared" si="112"/>
        <v>-2.1573232309367665E-2</v>
      </c>
      <c r="K1175" s="3" t="str">
        <f t="shared" si="113"/>
        <v>Normal</v>
      </c>
      <c r="L1175" s="4">
        <f>VALUE(A1175)</f>
        <v>43095</v>
      </c>
    </row>
    <row r="1176" spans="1:12">
      <c r="A1176" s="5">
        <v>43096</v>
      </c>
      <c r="B1176" s="3">
        <v>1182.26001</v>
      </c>
      <c r="C1176" s="3">
        <v>188.44137599999999</v>
      </c>
      <c r="D1176" s="3">
        <v>15416.639649999999</v>
      </c>
      <c r="E1176" s="3">
        <v>186.240005</v>
      </c>
      <c r="F1176" s="3">
        <f t="shared" si="108"/>
        <v>2017</v>
      </c>
      <c r="G1176" s="3" t="str">
        <f t="shared" si="109"/>
        <v>Dec</v>
      </c>
      <c r="H1176" s="3" t="str">
        <f t="shared" si="110"/>
        <v>Q4</v>
      </c>
      <c r="I1176" s="3">
        <f t="shared" si="111"/>
        <v>3.2479877247983749E-3</v>
      </c>
      <c r="J1176" s="3">
        <f t="shared" si="112"/>
        <v>-6.6028620575561026E-2</v>
      </c>
      <c r="K1176" s="3" t="str">
        <f t="shared" si="113"/>
        <v>High Volatility</v>
      </c>
      <c r="L1176" s="4">
        <f>VALUE(A1176)</f>
        <v>43096</v>
      </c>
    </row>
    <row r="1177" spans="1:12">
      <c r="A1177" s="5">
        <v>43097</v>
      </c>
      <c r="B1177" s="3">
        <v>1186.099976</v>
      </c>
      <c r="C1177" s="3">
        <v>187.85797099999999</v>
      </c>
      <c r="D1177" s="3">
        <v>14398.700199999999</v>
      </c>
      <c r="E1177" s="3">
        <v>192.71000699999999</v>
      </c>
      <c r="F1177" s="3">
        <f t="shared" si="108"/>
        <v>2017</v>
      </c>
      <c r="G1177" s="3" t="str">
        <f t="shared" si="109"/>
        <v>Dec</v>
      </c>
      <c r="H1177" s="3" t="str">
        <f t="shared" si="110"/>
        <v>Q4</v>
      </c>
      <c r="I1177" s="3">
        <f t="shared" si="111"/>
        <v>-1.4020744740323629E-2</v>
      </c>
      <c r="J1177" s="3">
        <f t="shared" si="112"/>
        <v>-4.2572523317071077E-4</v>
      </c>
      <c r="K1177" s="3" t="str">
        <f t="shared" si="113"/>
        <v>Normal</v>
      </c>
      <c r="L1177" s="4">
        <f>VALUE(A1177)</f>
        <v>43097</v>
      </c>
    </row>
    <row r="1178" spans="1:12">
      <c r="A1178" s="5">
        <v>43098</v>
      </c>
      <c r="B1178" s="3">
        <v>1169.469971</v>
      </c>
      <c r="C1178" s="3">
        <v>186.84938</v>
      </c>
      <c r="D1178" s="3">
        <v>14392.570309999999</v>
      </c>
      <c r="E1178" s="3">
        <v>191.96000699999999</v>
      </c>
      <c r="F1178" s="3">
        <f t="shared" si="108"/>
        <v>2017</v>
      </c>
      <c r="G1178" s="3" t="str">
        <f t="shared" si="109"/>
        <v>Dec</v>
      </c>
      <c r="H1178" s="3" t="str">
        <f t="shared" si="110"/>
        <v>Q4</v>
      </c>
      <c r="I1178" s="3">
        <f t="shared" si="111"/>
        <v>1.670845723665014E-2</v>
      </c>
      <c r="J1178" s="3">
        <f t="shared" si="112"/>
        <v>2.5121264806244416E-2</v>
      </c>
      <c r="K1178" s="3" t="str">
        <f t="shared" si="113"/>
        <v>Normal</v>
      </c>
      <c r="L1178" s="4">
        <f>VALUE(A1178)</f>
        <v>43098</v>
      </c>
    </row>
    <row r="1179" spans="1:12">
      <c r="A1179" s="5">
        <v>43102</v>
      </c>
      <c r="B1179" s="3">
        <v>1189.01001</v>
      </c>
      <c r="C1179" s="3">
        <v>184.851913</v>
      </c>
      <c r="D1179" s="3">
        <v>14754.12988</v>
      </c>
      <c r="E1179" s="3">
        <v>201.070007</v>
      </c>
      <c r="F1179" s="3">
        <f t="shared" si="108"/>
        <v>2018</v>
      </c>
      <c r="G1179" s="3" t="str">
        <f t="shared" si="109"/>
        <v>Jan</v>
      </c>
      <c r="H1179" s="3" t="str">
        <f t="shared" si="110"/>
        <v>Q1</v>
      </c>
      <c r="I1179" s="3">
        <f t="shared" si="111"/>
        <v>1.2775284372921377E-2</v>
      </c>
      <c r="J1179" s="3">
        <f t="shared" si="112"/>
        <v>2.7279835766228132E-2</v>
      </c>
      <c r="K1179" s="3" t="str">
        <f t="shared" si="113"/>
        <v>Normal</v>
      </c>
      <c r="L1179" s="4">
        <f>VALUE(A1179)</f>
        <v>43102</v>
      </c>
    </row>
    <row r="1180" spans="1:12">
      <c r="A1180" s="5">
        <v>43103</v>
      </c>
      <c r="B1180" s="3">
        <v>1204.1999510000001</v>
      </c>
      <c r="C1180" s="3">
        <v>189.51921100000001</v>
      </c>
      <c r="D1180" s="3">
        <v>15156.62012</v>
      </c>
      <c r="E1180" s="3">
        <v>205.050003</v>
      </c>
      <c r="F1180" s="3">
        <f t="shared" si="108"/>
        <v>2018</v>
      </c>
      <c r="G1180" s="3" t="str">
        <f t="shared" si="109"/>
        <v>Jan</v>
      </c>
      <c r="H1180" s="3" t="str">
        <f t="shared" si="110"/>
        <v>Q1</v>
      </c>
      <c r="I1180" s="3">
        <f t="shared" si="111"/>
        <v>4.4760133028770967E-3</v>
      </c>
      <c r="J1180" s="3">
        <f t="shared" si="112"/>
        <v>1.5478358508862686E-3</v>
      </c>
      <c r="K1180" s="3" t="str">
        <f t="shared" si="113"/>
        <v>Normal</v>
      </c>
      <c r="L1180" s="4">
        <f>VALUE(A1180)</f>
        <v>43103</v>
      </c>
    </row>
    <row r="1181" spans="1:12">
      <c r="A1181" s="5">
        <v>43104</v>
      </c>
      <c r="B1181" s="3">
        <v>1209.589966</v>
      </c>
      <c r="C1181" s="3">
        <v>195.08633399999999</v>
      </c>
      <c r="D1181" s="3">
        <v>15180.08008</v>
      </c>
      <c r="E1181" s="3">
        <v>205.63000500000001</v>
      </c>
      <c r="F1181" s="3">
        <f t="shared" si="108"/>
        <v>2018</v>
      </c>
      <c r="G1181" s="3" t="str">
        <f t="shared" si="109"/>
        <v>Jan</v>
      </c>
      <c r="H1181" s="3" t="str">
        <f t="shared" si="110"/>
        <v>Q1</v>
      </c>
      <c r="I1181" s="3">
        <f t="shared" si="111"/>
        <v>1.6162542307332554E-2</v>
      </c>
      <c r="J1181" s="3">
        <f t="shared" si="112"/>
        <v>0.11690974030750954</v>
      </c>
      <c r="K1181" s="3" t="str">
        <f t="shared" si="113"/>
        <v>High Volatility</v>
      </c>
      <c r="L1181" s="4">
        <f>VALUE(A1181)</f>
        <v>43104</v>
      </c>
    </row>
    <row r="1182" spans="1:12">
      <c r="A1182" s="5">
        <v>43105</v>
      </c>
      <c r="B1182" s="3">
        <v>1229.1400149999999</v>
      </c>
      <c r="C1182" s="3">
        <v>198.06269800000001</v>
      </c>
      <c r="D1182" s="3">
        <v>16954.779299999998</v>
      </c>
      <c r="E1182" s="3">
        <v>209.990005</v>
      </c>
      <c r="F1182" s="3">
        <f t="shared" si="108"/>
        <v>2018</v>
      </c>
      <c r="G1182" s="3" t="str">
        <f t="shared" si="109"/>
        <v>Jan</v>
      </c>
      <c r="H1182" s="3" t="str">
        <f t="shared" si="110"/>
        <v>Q1</v>
      </c>
      <c r="I1182" s="3">
        <f t="shared" si="111"/>
        <v>1.4424703275159477E-2</v>
      </c>
      <c r="J1182" s="3">
        <f t="shared" si="112"/>
        <v>-0.11669921176738633</v>
      </c>
      <c r="K1182" s="3" t="str">
        <f t="shared" si="113"/>
        <v>High Volatility</v>
      </c>
      <c r="L1182" s="4">
        <f>VALUE(A1182)</f>
        <v>43105</v>
      </c>
    </row>
    <row r="1183" spans="1:12">
      <c r="A1183" s="5">
        <v>43108</v>
      </c>
      <c r="B1183" s="3">
        <v>1246.869995</v>
      </c>
      <c r="C1183" s="3">
        <v>201.335724</v>
      </c>
      <c r="D1183" s="3">
        <v>14976.16992</v>
      </c>
      <c r="E1183" s="3">
        <v>212.050003</v>
      </c>
      <c r="F1183" s="3">
        <f t="shared" si="108"/>
        <v>2018</v>
      </c>
      <c r="G1183" s="3" t="str">
        <f t="shared" si="109"/>
        <v>Jan</v>
      </c>
      <c r="H1183" s="3" t="str">
        <f t="shared" si="110"/>
        <v>Q1</v>
      </c>
      <c r="I1183" s="3">
        <f t="shared" si="111"/>
        <v>4.6756727031514126E-3</v>
      </c>
      <c r="J1183" s="3">
        <f t="shared" si="112"/>
        <v>-3.3898514954883753E-2</v>
      </c>
      <c r="K1183" s="3" t="str">
        <f t="shared" si="113"/>
        <v>Normal</v>
      </c>
      <c r="L1183" s="4">
        <f>VALUE(A1183)</f>
        <v>43108</v>
      </c>
    </row>
    <row r="1184" spans="1:12">
      <c r="A1184" s="5">
        <v>43109</v>
      </c>
      <c r="B1184" s="3">
        <v>1252.6999510000001</v>
      </c>
      <c r="C1184" s="3">
        <v>204.40110799999999</v>
      </c>
      <c r="D1184" s="3">
        <v>14468.5</v>
      </c>
      <c r="E1184" s="3">
        <v>209.30999800000001</v>
      </c>
      <c r="F1184" s="3">
        <f t="shared" si="108"/>
        <v>2018</v>
      </c>
      <c r="G1184" s="3" t="str">
        <f t="shared" si="109"/>
        <v>Jan</v>
      </c>
      <c r="H1184" s="3" t="str">
        <f t="shared" si="110"/>
        <v>Q1</v>
      </c>
      <c r="I1184" s="3">
        <f t="shared" si="111"/>
        <v>1.3011934731048638E-3</v>
      </c>
      <c r="J1184" s="3">
        <f t="shared" si="112"/>
        <v>3.1170489684486949E-2</v>
      </c>
      <c r="K1184" s="3" t="str">
        <f t="shared" si="113"/>
        <v>Normal</v>
      </c>
      <c r="L1184" s="4">
        <f>VALUE(A1184)</f>
        <v>43109</v>
      </c>
    </row>
    <row r="1185" spans="1:12">
      <c r="A1185" s="5">
        <v>43110</v>
      </c>
      <c r="B1185" s="3">
        <v>1254.329956</v>
      </c>
      <c r="C1185" s="3">
        <v>197.85505699999999</v>
      </c>
      <c r="D1185" s="3">
        <v>14919.490229999999</v>
      </c>
      <c r="E1185" s="3">
        <v>212.520004</v>
      </c>
      <c r="F1185" s="3">
        <f t="shared" si="108"/>
        <v>2018</v>
      </c>
      <c r="G1185" s="3" t="str">
        <f t="shared" si="109"/>
        <v>Jan</v>
      </c>
      <c r="H1185" s="3" t="str">
        <f t="shared" si="110"/>
        <v>Q1</v>
      </c>
      <c r="I1185" s="3">
        <f t="shared" si="111"/>
        <v>1.7818356241186582E-2</v>
      </c>
      <c r="J1185" s="3">
        <f t="shared" si="112"/>
        <v>-0.10800842623695998</v>
      </c>
      <c r="K1185" s="3" t="str">
        <f t="shared" si="113"/>
        <v>High Volatility</v>
      </c>
      <c r="L1185" s="4">
        <f>VALUE(A1185)</f>
        <v>43110</v>
      </c>
    </row>
    <row r="1186" spans="1:12">
      <c r="A1186" s="5">
        <v>43111</v>
      </c>
      <c r="B1186" s="3">
        <v>1276.6800539999999</v>
      </c>
      <c r="C1186" s="3">
        <v>207.50604200000001</v>
      </c>
      <c r="D1186" s="3">
        <v>13308.059569999999</v>
      </c>
      <c r="E1186" s="3">
        <v>217.240005</v>
      </c>
      <c r="F1186" s="3">
        <f t="shared" si="108"/>
        <v>2018</v>
      </c>
      <c r="G1186" s="3" t="str">
        <f t="shared" si="109"/>
        <v>Jan</v>
      </c>
      <c r="H1186" s="3" t="str">
        <f t="shared" si="110"/>
        <v>Q1</v>
      </c>
      <c r="I1186" s="3">
        <f t="shared" si="111"/>
        <v>2.2339110657085687E-2</v>
      </c>
      <c r="J1186" s="3">
        <f t="shared" si="112"/>
        <v>4.0060750945376263E-2</v>
      </c>
      <c r="K1186" s="3" t="str">
        <f t="shared" si="113"/>
        <v>Normal</v>
      </c>
      <c r="L1186" s="4">
        <f>VALUE(A1186)</f>
        <v>43111</v>
      </c>
    </row>
    <row r="1187" spans="1:12">
      <c r="A1187" s="5">
        <v>43112</v>
      </c>
      <c r="B1187" s="3">
        <v>1305.1999510000001</v>
      </c>
      <c r="C1187" s="3">
        <v>208.791504</v>
      </c>
      <c r="D1187" s="3">
        <v>13841.190430000001</v>
      </c>
      <c r="E1187" s="3">
        <v>221.229996</v>
      </c>
      <c r="F1187" s="3">
        <f t="shared" si="108"/>
        <v>2018</v>
      </c>
      <c r="G1187" s="3" t="str">
        <f t="shared" si="109"/>
        <v>Jan</v>
      </c>
      <c r="H1187" s="3" t="str">
        <f t="shared" si="110"/>
        <v>Q1</v>
      </c>
      <c r="I1187" s="3">
        <f t="shared" si="111"/>
        <v>-2.6047043576697465E-4</v>
      </c>
      <c r="J1187" s="3">
        <f t="shared" si="112"/>
        <v>-0.18486128147288275</v>
      </c>
      <c r="K1187" s="3" t="str">
        <f t="shared" si="113"/>
        <v>High Volatility</v>
      </c>
      <c r="L1187" s="4">
        <f>VALUE(A1187)</f>
        <v>43112</v>
      </c>
    </row>
    <row r="1188" spans="1:12">
      <c r="A1188" s="5">
        <v>43116</v>
      </c>
      <c r="B1188" s="3">
        <v>1304.8599850000001</v>
      </c>
      <c r="C1188" s="3">
        <v>206.95228599999999</v>
      </c>
      <c r="D1188" s="3">
        <v>11282.490229999999</v>
      </c>
      <c r="E1188" s="3">
        <v>221.529999</v>
      </c>
      <c r="F1188" s="3">
        <f t="shared" si="108"/>
        <v>2018</v>
      </c>
      <c r="G1188" s="3" t="str">
        <f t="shared" si="109"/>
        <v>Jan</v>
      </c>
      <c r="H1188" s="3" t="str">
        <f t="shared" si="110"/>
        <v>Q1</v>
      </c>
      <c r="I1188" s="3">
        <f t="shared" si="111"/>
        <v>-7.5563547915832906E-3</v>
      </c>
      <c r="J1188" s="3">
        <f t="shared" si="112"/>
        <v>-1.0617339572914492E-2</v>
      </c>
      <c r="K1188" s="3" t="str">
        <f t="shared" si="113"/>
        <v>Normal</v>
      </c>
      <c r="L1188" s="4">
        <f>VALUE(A1188)</f>
        <v>43116</v>
      </c>
    </row>
    <row r="1189" spans="1:12">
      <c r="A1189" s="5">
        <v>43117</v>
      </c>
      <c r="B1189" s="3">
        <v>1295</v>
      </c>
      <c r="C1189" s="3">
        <v>205.56791699999999</v>
      </c>
      <c r="D1189" s="3">
        <v>11162.700199999999</v>
      </c>
      <c r="E1189" s="3">
        <v>217.5</v>
      </c>
      <c r="F1189" s="3">
        <f t="shared" si="108"/>
        <v>2018</v>
      </c>
      <c r="G1189" s="3" t="str">
        <f t="shared" si="109"/>
        <v>Jan</v>
      </c>
      <c r="H1189" s="3" t="str">
        <f t="shared" si="110"/>
        <v>Q1</v>
      </c>
      <c r="I1189" s="3">
        <f t="shared" si="111"/>
        <v>-1.2973389961389401E-3</v>
      </c>
      <c r="J1189" s="3">
        <f t="shared" si="112"/>
        <v>1.1484076227363219E-3</v>
      </c>
      <c r="K1189" s="3" t="str">
        <f t="shared" si="113"/>
        <v>Normal</v>
      </c>
      <c r="L1189" s="4">
        <f>VALUE(A1189)</f>
        <v>43117</v>
      </c>
    </row>
    <row r="1190" spans="1:12">
      <c r="A1190" s="5">
        <v>43118</v>
      </c>
      <c r="B1190" s="3">
        <v>1293.3199460000001</v>
      </c>
      <c r="C1190" s="3">
        <v>208.55418399999999</v>
      </c>
      <c r="D1190" s="3">
        <v>11175.51953</v>
      </c>
      <c r="E1190" s="3">
        <v>220.33000200000001</v>
      </c>
      <c r="F1190" s="3">
        <f t="shared" si="108"/>
        <v>2018</v>
      </c>
      <c r="G1190" s="3" t="str">
        <f t="shared" si="109"/>
        <v>Jan</v>
      </c>
      <c r="H1190" s="3" t="str">
        <f t="shared" si="110"/>
        <v>Q1</v>
      </c>
      <c r="I1190" s="3">
        <f t="shared" si="111"/>
        <v>9.7424462051864588E-4</v>
      </c>
      <c r="J1190" s="3">
        <f t="shared" si="112"/>
        <v>3.0982026300481174E-2</v>
      </c>
      <c r="K1190" s="3" t="str">
        <f t="shared" si="113"/>
        <v>Normal</v>
      </c>
      <c r="L1190" s="4">
        <f>VALUE(A1190)</f>
        <v>43118</v>
      </c>
    </row>
    <row r="1191" spans="1:12">
      <c r="A1191" s="5">
        <v>43119</v>
      </c>
      <c r="B1191" s="3">
        <v>1294.579956</v>
      </c>
      <c r="C1191" s="3">
        <v>211.15479999999999</v>
      </c>
      <c r="D1191" s="3">
        <v>11521.759770000001</v>
      </c>
      <c r="E1191" s="3">
        <v>220.46000699999999</v>
      </c>
      <c r="F1191" s="3">
        <f t="shared" si="108"/>
        <v>2018</v>
      </c>
      <c r="G1191" s="3" t="str">
        <f t="shared" si="109"/>
        <v>Jan</v>
      </c>
      <c r="H1191" s="3" t="str">
        <f t="shared" si="110"/>
        <v>Q1</v>
      </c>
      <c r="I1191" s="3">
        <f t="shared" si="111"/>
        <v>2.5282411370812132E-2</v>
      </c>
      <c r="J1191" s="3">
        <f t="shared" si="112"/>
        <v>-6.138300521084384E-2</v>
      </c>
      <c r="K1191" s="3" t="str">
        <f t="shared" si="113"/>
        <v>High Volatility</v>
      </c>
      <c r="L1191" s="4">
        <f>VALUE(A1191)</f>
        <v>43119</v>
      </c>
    </row>
    <row r="1192" spans="1:12">
      <c r="A1192" s="5">
        <v>43122</v>
      </c>
      <c r="B1192" s="3">
        <v>1327.3100589999999</v>
      </c>
      <c r="C1192" s="3">
        <v>213.87406899999999</v>
      </c>
      <c r="D1192" s="3">
        <v>10814.51953</v>
      </c>
      <c r="E1192" s="3">
        <v>227.58000200000001</v>
      </c>
      <c r="F1192" s="3">
        <f t="shared" si="108"/>
        <v>2018</v>
      </c>
      <c r="G1192" s="3" t="str">
        <f t="shared" si="109"/>
        <v>Jan</v>
      </c>
      <c r="H1192" s="3" t="str">
        <f t="shared" si="110"/>
        <v>Q1</v>
      </c>
      <c r="I1192" s="3">
        <f t="shared" si="111"/>
        <v>2.6542389068114545E-2</v>
      </c>
      <c r="J1192" s="3">
        <f t="shared" si="112"/>
        <v>4.0418753582851822E-3</v>
      </c>
      <c r="K1192" s="3" t="str">
        <f t="shared" si="113"/>
        <v>Normal</v>
      </c>
      <c r="L1192" s="4">
        <f>VALUE(A1192)</f>
        <v>43122</v>
      </c>
    </row>
    <row r="1193" spans="1:12">
      <c r="A1193" s="5">
        <v>43123</v>
      </c>
      <c r="B1193" s="3">
        <v>1362.540039</v>
      </c>
      <c r="C1193" s="3">
        <v>217.11747700000001</v>
      </c>
      <c r="D1193" s="3">
        <v>10858.23047</v>
      </c>
      <c r="E1193" s="3">
        <v>250.28999300000001</v>
      </c>
      <c r="F1193" s="3">
        <f t="shared" si="108"/>
        <v>2018</v>
      </c>
      <c r="G1193" s="3" t="str">
        <f t="shared" si="109"/>
        <v>Jan</v>
      </c>
      <c r="H1193" s="3" t="str">
        <f t="shared" si="110"/>
        <v>Q1</v>
      </c>
      <c r="I1193" s="3">
        <f t="shared" si="111"/>
        <v>-3.6916559191109491E-3</v>
      </c>
      <c r="J1193" s="3">
        <f t="shared" si="112"/>
        <v>5.2567410645502639E-2</v>
      </c>
      <c r="K1193" s="3" t="str">
        <f t="shared" si="113"/>
        <v>High Volatility</v>
      </c>
      <c r="L1193" s="4">
        <f>VALUE(A1193)</f>
        <v>43123</v>
      </c>
    </row>
    <row r="1194" spans="1:12">
      <c r="A1194" s="5">
        <v>43124</v>
      </c>
      <c r="B1194" s="3">
        <v>1357.51001</v>
      </c>
      <c r="C1194" s="3">
        <v>216.276962</v>
      </c>
      <c r="D1194" s="3">
        <v>11429.01953</v>
      </c>
      <c r="E1194" s="3">
        <v>261.29998799999998</v>
      </c>
      <c r="F1194" s="3">
        <f t="shared" si="108"/>
        <v>2018</v>
      </c>
      <c r="G1194" s="3" t="str">
        <f t="shared" si="109"/>
        <v>Jan</v>
      </c>
      <c r="H1194" s="3" t="str">
        <f t="shared" si="110"/>
        <v>Q1</v>
      </c>
      <c r="I1194" s="3">
        <f t="shared" si="111"/>
        <v>1.5056935749593544E-2</v>
      </c>
      <c r="J1194" s="3">
        <f t="shared" si="112"/>
        <v>-2.2149704909988896E-2</v>
      </c>
      <c r="K1194" s="3" t="str">
        <f t="shared" si="113"/>
        <v>Normal</v>
      </c>
      <c r="L1194" s="4">
        <f>VALUE(A1194)</f>
        <v>43124</v>
      </c>
    </row>
    <row r="1195" spans="1:12">
      <c r="A1195" s="5">
        <v>43125</v>
      </c>
      <c r="B1195" s="3">
        <v>1377.9499510000001</v>
      </c>
      <c r="C1195" s="3">
        <v>216.88014200000001</v>
      </c>
      <c r="D1195" s="3">
        <v>11175.87012</v>
      </c>
      <c r="E1195" s="3">
        <v>269.70001200000002</v>
      </c>
      <c r="F1195" s="3">
        <f t="shared" si="108"/>
        <v>2018</v>
      </c>
      <c r="G1195" s="3" t="str">
        <f t="shared" si="109"/>
        <v>Jan</v>
      </c>
      <c r="H1195" s="3" t="str">
        <f t="shared" si="110"/>
        <v>Q1</v>
      </c>
      <c r="I1195" s="3">
        <f t="shared" si="111"/>
        <v>1.7489821007294255E-2</v>
      </c>
      <c r="J1195" s="3">
        <f t="shared" si="112"/>
        <v>-6.412916330491525E-3</v>
      </c>
      <c r="K1195" s="3" t="str">
        <f t="shared" si="113"/>
        <v>Normal</v>
      </c>
      <c r="L1195" s="4">
        <f>VALUE(A1195)</f>
        <v>43125</v>
      </c>
    </row>
    <row r="1196" spans="1:12">
      <c r="A1196" s="5">
        <v>43126</v>
      </c>
      <c r="B1196" s="3">
        <v>1402.0500489999999</v>
      </c>
      <c r="C1196" s="3">
        <v>214.35862700000001</v>
      </c>
      <c r="D1196" s="3">
        <v>11104.200199999999</v>
      </c>
      <c r="E1196" s="3">
        <v>274.60000600000001</v>
      </c>
      <c r="F1196" s="3">
        <f t="shared" si="108"/>
        <v>2018</v>
      </c>
      <c r="G1196" s="3" t="str">
        <f t="shared" si="109"/>
        <v>Jan</v>
      </c>
      <c r="H1196" s="3" t="str">
        <f t="shared" si="110"/>
        <v>Q1</v>
      </c>
      <c r="I1196" s="3">
        <f t="shared" si="111"/>
        <v>1.1147965089511568E-2</v>
      </c>
      <c r="J1196" s="3">
        <f t="shared" si="112"/>
        <v>1.1684767715193032E-2</v>
      </c>
      <c r="K1196" s="3" t="str">
        <f t="shared" si="113"/>
        <v>Normal</v>
      </c>
      <c r="L1196" s="4">
        <f>VALUE(A1196)</f>
        <v>43126</v>
      </c>
    </row>
    <row r="1197" spans="1:12">
      <c r="A1197" s="5">
        <v>43129</v>
      </c>
      <c r="B1197" s="3">
        <v>1417.6800539999999</v>
      </c>
      <c r="C1197" s="3">
        <v>212.924835</v>
      </c>
      <c r="D1197" s="3">
        <v>11233.950199999999</v>
      </c>
      <c r="E1197" s="3">
        <v>284.58999599999999</v>
      </c>
      <c r="F1197" s="3">
        <f t="shared" si="108"/>
        <v>2018</v>
      </c>
      <c r="G1197" s="3" t="str">
        <f t="shared" si="109"/>
        <v>Jan</v>
      </c>
      <c r="H1197" s="3" t="str">
        <f t="shared" si="110"/>
        <v>Q1</v>
      </c>
      <c r="I1197" s="3">
        <f t="shared" si="111"/>
        <v>1.4206232177122911E-2</v>
      </c>
      <c r="J1197" s="3">
        <f t="shared" si="112"/>
        <v>-0.1002933438319852</v>
      </c>
      <c r="K1197" s="3" t="str">
        <f t="shared" si="113"/>
        <v>High Volatility</v>
      </c>
      <c r="L1197" s="4">
        <f>VALUE(A1197)</f>
        <v>43129</v>
      </c>
    </row>
    <row r="1198" spans="1:12">
      <c r="A1198" s="5">
        <v>43130</v>
      </c>
      <c r="B1198" s="3">
        <v>1437.8199460000001</v>
      </c>
      <c r="C1198" s="3">
        <v>213.53788800000001</v>
      </c>
      <c r="D1198" s="3">
        <v>10107.259770000001</v>
      </c>
      <c r="E1198" s="3">
        <v>278.79998799999998</v>
      </c>
      <c r="F1198" s="3">
        <f t="shared" si="108"/>
        <v>2018</v>
      </c>
      <c r="G1198" s="3" t="str">
        <f t="shared" si="109"/>
        <v>Jan</v>
      </c>
      <c r="H1198" s="3" t="str">
        <f t="shared" si="110"/>
        <v>Q1</v>
      </c>
      <c r="I1198" s="3">
        <f t="shared" si="111"/>
        <v>9.0901986972434685E-3</v>
      </c>
      <c r="J1198" s="3">
        <f t="shared" si="112"/>
        <v>1.1833136054837963E-2</v>
      </c>
      <c r="K1198" s="3" t="str">
        <f t="shared" si="113"/>
        <v>Normal</v>
      </c>
      <c r="L1198" s="4">
        <f>VALUE(A1198)</f>
        <v>43130</v>
      </c>
    </row>
    <row r="1199" spans="1:12">
      <c r="A1199" s="5">
        <v>43131</v>
      </c>
      <c r="B1199" s="3">
        <v>1450.8900149999999</v>
      </c>
      <c r="C1199" s="3">
        <v>214.42785599999999</v>
      </c>
      <c r="D1199" s="3">
        <v>10226.860350000001</v>
      </c>
      <c r="E1199" s="3">
        <v>270.29998799999998</v>
      </c>
      <c r="F1199" s="3">
        <f t="shared" si="108"/>
        <v>2018</v>
      </c>
      <c r="G1199" s="3" t="str">
        <f t="shared" si="109"/>
        <v>Jan</v>
      </c>
      <c r="H1199" s="3" t="str">
        <f t="shared" si="110"/>
        <v>Q1</v>
      </c>
      <c r="I1199" s="3">
        <f t="shared" si="111"/>
        <v>-4.1967354086450137E-2</v>
      </c>
      <c r="J1199" s="3">
        <f t="shared" si="112"/>
        <v>-0.10874702351831772</v>
      </c>
      <c r="K1199" s="3" t="str">
        <f t="shared" si="113"/>
        <v>High Volatility</v>
      </c>
      <c r="L1199" s="4">
        <f>VALUE(A1199)</f>
        <v>43131</v>
      </c>
    </row>
    <row r="1200" spans="1:12">
      <c r="A1200" s="5">
        <v>43132</v>
      </c>
      <c r="B1200" s="3">
        <v>1390</v>
      </c>
      <c r="C1200" s="3">
        <v>216.22752399999999</v>
      </c>
      <c r="D1200" s="3">
        <v>9114.7197269999997</v>
      </c>
      <c r="E1200" s="3">
        <v>265.07000699999998</v>
      </c>
      <c r="F1200" s="3">
        <f t="shared" si="108"/>
        <v>2018</v>
      </c>
      <c r="G1200" s="3" t="str">
        <f t="shared" si="109"/>
        <v>Feb</v>
      </c>
      <c r="H1200" s="3" t="str">
        <f t="shared" si="110"/>
        <v>Q1</v>
      </c>
      <c r="I1200" s="3">
        <f t="shared" si="111"/>
        <v>2.8740971942446084E-2</v>
      </c>
      <c r="J1200" s="3">
        <f t="shared" si="112"/>
        <v>-2.6758849564788106E-2</v>
      </c>
      <c r="K1200" s="3" t="str">
        <f t="shared" si="113"/>
        <v>Normal</v>
      </c>
      <c r="L1200" s="4">
        <f>VALUE(A1200)</f>
        <v>43132</v>
      </c>
    </row>
    <row r="1201" spans="1:12">
      <c r="A1201" s="5">
        <v>43133</v>
      </c>
      <c r="B1201" s="3">
        <v>1429.9499510000001</v>
      </c>
      <c r="C1201" s="3">
        <v>211.985443</v>
      </c>
      <c r="D1201" s="3">
        <v>8870.8203130000002</v>
      </c>
      <c r="E1201" s="3">
        <v>267.42999300000002</v>
      </c>
      <c r="F1201" s="3">
        <f t="shared" si="108"/>
        <v>2018</v>
      </c>
      <c r="G1201" s="3" t="str">
        <f t="shared" si="109"/>
        <v>Feb</v>
      </c>
      <c r="H1201" s="3" t="str">
        <f t="shared" si="110"/>
        <v>Q1</v>
      </c>
      <c r="I1201" s="3">
        <f t="shared" si="111"/>
        <v>-2.7938006482018513E-2</v>
      </c>
      <c r="J1201" s="3">
        <f t="shared" si="112"/>
        <v>-0.21798888566890987</v>
      </c>
      <c r="K1201" s="3" t="str">
        <f t="shared" si="113"/>
        <v>High Volatility</v>
      </c>
      <c r="L1201" s="4">
        <f>VALUE(A1201)</f>
        <v>43133</v>
      </c>
    </row>
    <row r="1202" spans="1:12">
      <c r="A1202" s="5">
        <v>43136</v>
      </c>
      <c r="B1202" s="3">
        <v>1390</v>
      </c>
      <c r="C1202" s="3">
        <v>205.69645700000001</v>
      </c>
      <c r="D1202" s="3">
        <v>6937.080078</v>
      </c>
      <c r="E1202" s="3">
        <v>254.259995</v>
      </c>
      <c r="F1202" s="3">
        <f t="shared" si="108"/>
        <v>2018</v>
      </c>
      <c r="G1202" s="3" t="str">
        <f t="shared" si="109"/>
        <v>Feb</v>
      </c>
      <c r="H1202" s="3" t="str">
        <f t="shared" si="110"/>
        <v>Q1</v>
      </c>
      <c r="I1202" s="3">
        <f t="shared" si="111"/>
        <v>3.8014364028776983E-2</v>
      </c>
      <c r="J1202" s="3">
        <f t="shared" si="112"/>
        <v>0.11015728713056959</v>
      </c>
      <c r="K1202" s="3" t="str">
        <f t="shared" si="113"/>
        <v>High Volatility</v>
      </c>
      <c r="L1202" s="4">
        <f>VALUE(A1202)</f>
        <v>43136</v>
      </c>
    </row>
    <row r="1203" spans="1:12">
      <c r="A1203" s="5">
        <v>43137</v>
      </c>
      <c r="B1203" s="3">
        <v>1442.839966</v>
      </c>
      <c r="C1203" s="3">
        <v>206.13154599999999</v>
      </c>
      <c r="D1203" s="3">
        <v>7701.25</v>
      </c>
      <c r="E1203" s="3">
        <v>265.72000100000002</v>
      </c>
      <c r="F1203" s="3">
        <f t="shared" si="108"/>
        <v>2018</v>
      </c>
      <c r="G1203" s="3" t="str">
        <f t="shared" si="109"/>
        <v>Feb</v>
      </c>
      <c r="H1203" s="3" t="str">
        <f t="shared" si="110"/>
        <v>Q1</v>
      </c>
      <c r="I1203" s="3">
        <f t="shared" si="111"/>
        <v>-1.8061557493618798E-2</v>
      </c>
      <c r="J1203" s="3">
        <f t="shared" si="112"/>
        <v>-1.4092489530920269E-2</v>
      </c>
      <c r="K1203" s="3" t="str">
        <f t="shared" si="113"/>
        <v>Normal</v>
      </c>
      <c r="L1203" s="4">
        <f>VALUE(A1203)</f>
        <v>43137</v>
      </c>
    </row>
    <row r="1204" spans="1:12">
      <c r="A1204" s="5">
        <v>43138</v>
      </c>
      <c r="B1204" s="3">
        <v>1416.780029</v>
      </c>
      <c r="C1204" s="3">
        <v>208.949738</v>
      </c>
      <c r="D1204" s="3">
        <v>7592.7202150000003</v>
      </c>
      <c r="E1204" s="3">
        <v>264.55999800000001</v>
      </c>
      <c r="F1204" s="3">
        <f t="shared" si="108"/>
        <v>2018</v>
      </c>
      <c r="G1204" s="3" t="str">
        <f t="shared" si="109"/>
        <v>Feb</v>
      </c>
      <c r="H1204" s="3" t="str">
        <f t="shared" si="110"/>
        <v>Q1</v>
      </c>
      <c r="I1204" s="3">
        <f t="shared" si="111"/>
        <v>-4.6782159293127651E-2</v>
      </c>
      <c r="J1204" s="3">
        <f t="shared" si="112"/>
        <v>8.7975086146381901E-2</v>
      </c>
      <c r="K1204" s="3" t="str">
        <f t="shared" si="113"/>
        <v>High Volatility</v>
      </c>
      <c r="L1204" s="4">
        <f>VALUE(A1204)</f>
        <v>43138</v>
      </c>
    </row>
    <row r="1205" spans="1:12">
      <c r="A1205" s="5">
        <v>43139</v>
      </c>
      <c r="B1205" s="3">
        <v>1350.5</v>
      </c>
      <c r="C1205" s="3">
        <v>196.35202000000001</v>
      </c>
      <c r="D1205" s="3">
        <v>8260.6904300000006</v>
      </c>
      <c r="E1205" s="3">
        <v>250.10000600000001</v>
      </c>
      <c r="F1205" s="3">
        <f t="shared" si="108"/>
        <v>2018</v>
      </c>
      <c r="G1205" s="3" t="str">
        <f t="shared" si="109"/>
        <v>Feb</v>
      </c>
      <c r="H1205" s="3" t="str">
        <f t="shared" si="110"/>
        <v>Q1</v>
      </c>
      <c r="I1205" s="3">
        <f t="shared" si="111"/>
        <v>-8.0711025546094262E-3</v>
      </c>
      <c r="J1205" s="3">
        <f t="shared" si="112"/>
        <v>5.2796997018081E-2</v>
      </c>
      <c r="K1205" s="3" t="str">
        <f t="shared" si="113"/>
        <v>High Volatility</v>
      </c>
      <c r="L1205" s="4">
        <f>VALUE(A1205)</f>
        <v>43139</v>
      </c>
    </row>
    <row r="1206" spans="1:12">
      <c r="A1206" s="5">
        <v>43140</v>
      </c>
      <c r="B1206" s="3">
        <v>1339.599976</v>
      </c>
      <c r="C1206" s="3">
        <v>203.78804</v>
      </c>
      <c r="D1206" s="3">
        <v>8696.8300780000009</v>
      </c>
      <c r="E1206" s="3">
        <v>249.470001</v>
      </c>
      <c r="F1206" s="3">
        <f t="shared" si="108"/>
        <v>2018</v>
      </c>
      <c r="G1206" s="3" t="str">
        <f t="shared" si="109"/>
        <v>Feb</v>
      </c>
      <c r="H1206" s="3" t="str">
        <f t="shared" si="110"/>
        <v>Q1</v>
      </c>
      <c r="I1206" s="3">
        <f t="shared" si="111"/>
        <v>3.4808901788155974E-2</v>
      </c>
      <c r="J1206" s="3">
        <f t="shared" si="112"/>
        <v>2.4657197056483528E-2</v>
      </c>
      <c r="K1206" s="3" t="str">
        <f t="shared" si="113"/>
        <v>Normal</v>
      </c>
      <c r="L1206" s="4">
        <f>VALUE(A1206)</f>
        <v>43140</v>
      </c>
    </row>
    <row r="1207" spans="1:12">
      <c r="A1207" s="5">
        <v>43143</v>
      </c>
      <c r="B1207" s="3">
        <v>1386.2299800000001</v>
      </c>
      <c r="C1207" s="3">
        <v>209.50346400000001</v>
      </c>
      <c r="D1207" s="3">
        <v>8911.2695309999999</v>
      </c>
      <c r="E1207" s="3">
        <v>257.95001200000002</v>
      </c>
      <c r="F1207" s="3">
        <f t="shared" si="108"/>
        <v>2018</v>
      </c>
      <c r="G1207" s="3" t="str">
        <f t="shared" si="109"/>
        <v>Feb</v>
      </c>
      <c r="H1207" s="3" t="str">
        <f t="shared" si="110"/>
        <v>Q1</v>
      </c>
      <c r="I1207" s="3">
        <f t="shared" si="111"/>
        <v>2.0400676949722221E-2</v>
      </c>
      <c r="J1207" s="3">
        <f t="shared" si="112"/>
        <v>-4.1136574281000655E-2</v>
      </c>
      <c r="K1207" s="3" t="str">
        <f t="shared" si="113"/>
        <v>Normal</v>
      </c>
      <c r="L1207" s="4">
        <f>VALUE(A1207)</f>
        <v>43143</v>
      </c>
    </row>
    <row r="1208" spans="1:12">
      <c r="A1208" s="5">
        <v>43144</v>
      </c>
      <c r="B1208" s="3">
        <v>1414.51001</v>
      </c>
      <c r="C1208" s="3">
        <v>205.67669699999999</v>
      </c>
      <c r="D1208" s="3">
        <v>8544.6904300000006</v>
      </c>
      <c r="E1208" s="3">
        <v>258.26998900000001</v>
      </c>
      <c r="F1208" s="3">
        <f t="shared" si="108"/>
        <v>2018</v>
      </c>
      <c r="G1208" s="3" t="str">
        <f t="shared" si="109"/>
        <v>Feb</v>
      </c>
      <c r="H1208" s="3" t="str">
        <f t="shared" si="110"/>
        <v>Q1</v>
      </c>
      <c r="I1208" s="3">
        <f t="shared" si="111"/>
        <v>2.5832294392883072E-2</v>
      </c>
      <c r="J1208" s="3">
        <f t="shared" si="112"/>
        <v>0.11012092546926826</v>
      </c>
      <c r="K1208" s="3" t="str">
        <f t="shared" si="113"/>
        <v>High Volatility</v>
      </c>
      <c r="L1208" s="4">
        <f>VALUE(A1208)</f>
        <v>43144</v>
      </c>
    </row>
    <row r="1209" spans="1:12">
      <c r="A1209" s="5">
        <v>43145</v>
      </c>
      <c r="B1209" s="3">
        <v>1451.0500489999999</v>
      </c>
      <c r="C1209" s="3">
        <v>207.436813</v>
      </c>
      <c r="D1209" s="3">
        <v>9485.6396480000003</v>
      </c>
      <c r="E1209" s="3">
        <v>266</v>
      </c>
      <c r="F1209" s="3">
        <f t="shared" si="108"/>
        <v>2018</v>
      </c>
      <c r="G1209" s="3" t="str">
        <f t="shared" si="109"/>
        <v>Feb</v>
      </c>
      <c r="H1209" s="3" t="str">
        <f t="shared" si="110"/>
        <v>Q1</v>
      </c>
      <c r="I1209" s="3">
        <f t="shared" si="111"/>
        <v>7.3808350079867038E-3</v>
      </c>
      <c r="J1209" s="3">
        <f t="shared" si="112"/>
        <v>5.778317249438903E-2</v>
      </c>
      <c r="K1209" s="3" t="str">
        <f t="shared" si="113"/>
        <v>High Volatility</v>
      </c>
      <c r="L1209" s="4">
        <f>VALUE(A1209)</f>
        <v>43145</v>
      </c>
    </row>
    <row r="1210" spans="1:12">
      <c r="A1210" s="5">
        <v>43146</v>
      </c>
      <c r="B1210" s="3">
        <v>1461.76001</v>
      </c>
      <c r="C1210" s="3">
        <v>215.26834099999999</v>
      </c>
      <c r="D1210" s="3">
        <v>10033.75</v>
      </c>
      <c r="E1210" s="3">
        <v>280.26998900000001</v>
      </c>
      <c r="F1210" s="3">
        <f t="shared" si="108"/>
        <v>2018</v>
      </c>
      <c r="G1210" s="3" t="str">
        <f t="shared" si="109"/>
        <v>Feb</v>
      </c>
      <c r="H1210" s="3" t="str">
        <f t="shared" si="110"/>
        <v>Q1</v>
      </c>
      <c r="I1210" s="3">
        <f t="shared" si="111"/>
        <v>-8.9413234119052661E-3</v>
      </c>
      <c r="J1210" s="3">
        <f t="shared" si="112"/>
        <v>1.5445917030023713E-2</v>
      </c>
      <c r="K1210" s="3" t="str">
        <f t="shared" si="113"/>
        <v>Normal</v>
      </c>
      <c r="L1210" s="4">
        <f>VALUE(A1210)</f>
        <v>43146</v>
      </c>
    </row>
    <row r="1211" spans="1:12">
      <c r="A1211" s="5">
        <v>43147</v>
      </c>
      <c r="B1211" s="3">
        <v>1448.6899410000001</v>
      </c>
      <c r="C1211" s="3">
        <v>218.27441400000001</v>
      </c>
      <c r="D1211" s="3">
        <v>10188.73047</v>
      </c>
      <c r="E1211" s="3">
        <v>278.51998900000001</v>
      </c>
      <c r="F1211" s="3">
        <f t="shared" si="108"/>
        <v>2018</v>
      </c>
      <c r="G1211" s="3" t="str">
        <f t="shared" si="109"/>
        <v>Feb</v>
      </c>
      <c r="H1211" s="3" t="str">
        <f t="shared" si="110"/>
        <v>Q1</v>
      </c>
      <c r="I1211" s="3">
        <f t="shared" si="111"/>
        <v>1.3570905991401426E-2</v>
      </c>
      <c r="J1211" s="3">
        <f t="shared" si="112"/>
        <v>0.10479217436792206</v>
      </c>
      <c r="K1211" s="3" t="str">
        <f t="shared" si="113"/>
        <v>High Volatility</v>
      </c>
      <c r="L1211" s="4">
        <f>VALUE(A1211)</f>
        <v>43147</v>
      </c>
    </row>
    <row r="1212" spans="1:12">
      <c r="A1212" s="5">
        <v>43151</v>
      </c>
      <c r="B1212" s="3">
        <v>1468.349976</v>
      </c>
      <c r="C1212" s="3">
        <v>219.016006</v>
      </c>
      <c r="D1212" s="3">
        <v>11256.429690000001</v>
      </c>
      <c r="E1212" s="3">
        <v>278.54998799999998</v>
      </c>
      <c r="F1212" s="3">
        <f t="shared" si="108"/>
        <v>2018</v>
      </c>
      <c r="G1212" s="3" t="str">
        <f t="shared" si="109"/>
        <v>Feb</v>
      </c>
      <c r="H1212" s="3" t="str">
        <f t="shared" si="110"/>
        <v>Q1</v>
      </c>
      <c r="I1212" s="3">
        <f t="shared" si="111"/>
        <v>9.9227488256518979E-3</v>
      </c>
      <c r="J1212" s="3">
        <f t="shared" si="112"/>
        <v>-6.8829064928846134E-2</v>
      </c>
      <c r="K1212" s="3" t="str">
        <f t="shared" si="113"/>
        <v>High Volatility</v>
      </c>
      <c r="L1212" s="4">
        <f>VALUE(A1212)</f>
        <v>43151</v>
      </c>
    </row>
    <row r="1213" spans="1:12">
      <c r="A1213" s="5">
        <v>43152</v>
      </c>
      <c r="B1213" s="3">
        <v>1482.920044</v>
      </c>
      <c r="C1213" s="3">
        <v>227.95503199999999</v>
      </c>
      <c r="D1213" s="3">
        <v>10481.660159999999</v>
      </c>
      <c r="E1213" s="3">
        <v>281.040009</v>
      </c>
      <c r="F1213" s="3">
        <f t="shared" si="108"/>
        <v>2018</v>
      </c>
      <c r="G1213" s="3" t="str">
        <f t="shared" si="109"/>
        <v>Feb</v>
      </c>
      <c r="H1213" s="3" t="str">
        <f t="shared" si="110"/>
        <v>Q1</v>
      </c>
      <c r="I1213" s="3">
        <f t="shared" si="111"/>
        <v>1.6318627627910345E-3</v>
      </c>
      <c r="J1213" s="3">
        <f t="shared" si="112"/>
        <v>-6.0457998955005143E-2</v>
      </c>
      <c r="K1213" s="3" t="str">
        <f t="shared" si="113"/>
        <v>High Volatility</v>
      </c>
      <c r="L1213" s="4">
        <f>VALUE(A1213)</f>
        <v>43152</v>
      </c>
    </row>
    <row r="1214" spans="1:12">
      <c r="A1214" s="5">
        <v>43153</v>
      </c>
      <c r="B1214" s="3">
        <v>1485.339966</v>
      </c>
      <c r="C1214" s="3">
        <v>224.46447800000001</v>
      </c>
      <c r="D1214" s="3">
        <v>9847.9599610000005</v>
      </c>
      <c r="E1214" s="3">
        <v>278.14001500000001</v>
      </c>
      <c r="F1214" s="3">
        <f t="shared" si="108"/>
        <v>2018</v>
      </c>
      <c r="G1214" s="3" t="str">
        <f t="shared" si="109"/>
        <v>Feb</v>
      </c>
      <c r="H1214" s="3" t="str">
        <f t="shared" si="110"/>
        <v>Q1</v>
      </c>
      <c r="I1214" s="3">
        <f t="shared" si="111"/>
        <v>9.8698172375171894E-3</v>
      </c>
      <c r="J1214" s="3">
        <f t="shared" si="112"/>
        <v>3.3260676352987469E-2</v>
      </c>
      <c r="K1214" s="3" t="str">
        <f t="shared" si="113"/>
        <v>Normal</v>
      </c>
      <c r="L1214" s="4">
        <f>VALUE(A1214)</f>
        <v>43153</v>
      </c>
    </row>
    <row r="1215" spans="1:12">
      <c r="A1215" s="5">
        <v>43154</v>
      </c>
      <c r="B1215" s="3">
        <v>1500</v>
      </c>
      <c r="C1215" s="3">
        <v>226.29379299999999</v>
      </c>
      <c r="D1215" s="3">
        <v>10175.509770000001</v>
      </c>
      <c r="E1215" s="3">
        <v>285.92999300000002</v>
      </c>
      <c r="F1215" s="3">
        <f t="shared" si="108"/>
        <v>2018</v>
      </c>
      <c r="G1215" s="3" t="str">
        <f t="shared" si="109"/>
        <v>Feb</v>
      </c>
      <c r="H1215" s="3" t="str">
        <f t="shared" si="110"/>
        <v>Q1</v>
      </c>
      <c r="I1215" s="3">
        <f t="shared" si="111"/>
        <v>1.4633300666666703E-2</v>
      </c>
      <c r="J1215" s="3">
        <f t="shared" si="112"/>
        <v>1.4838591226668285E-2</v>
      </c>
      <c r="K1215" s="3" t="str">
        <f t="shared" si="113"/>
        <v>Normal</v>
      </c>
      <c r="L1215" s="4">
        <f>VALUE(A1215)</f>
        <v>43154</v>
      </c>
    </row>
    <row r="1216" spans="1:12">
      <c r="A1216" s="5">
        <v>43157</v>
      </c>
      <c r="B1216" s="3">
        <v>1521.9499510000001</v>
      </c>
      <c r="C1216" s="3">
        <v>225.473083</v>
      </c>
      <c r="D1216" s="3">
        <v>10326.5</v>
      </c>
      <c r="E1216" s="3">
        <v>294.16000400000001</v>
      </c>
      <c r="F1216" s="3">
        <f t="shared" si="108"/>
        <v>2018</v>
      </c>
      <c r="G1216" s="3" t="str">
        <f t="shared" si="109"/>
        <v>Feb</v>
      </c>
      <c r="H1216" s="3" t="str">
        <f t="shared" si="110"/>
        <v>Q1</v>
      </c>
      <c r="I1216" s="3">
        <f t="shared" si="111"/>
        <v>-6.5507876874986585E-3</v>
      </c>
      <c r="J1216" s="3">
        <f t="shared" si="112"/>
        <v>2.5977801772139698E-2</v>
      </c>
      <c r="K1216" s="3" t="str">
        <f t="shared" si="113"/>
        <v>Normal</v>
      </c>
      <c r="L1216" s="4">
        <f>VALUE(A1216)</f>
        <v>43157</v>
      </c>
    </row>
    <row r="1217" spans="1:12">
      <c r="A1217" s="5">
        <v>43158</v>
      </c>
      <c r="B1217" s="3">
        <v>1511.9799800000001</v>
      </c>
      <c r="C1217" s="3">
        <v>223.94039900000001</v>
      </c>
      <c r="D1217" s="3">
        <v>10594.759770000001</v>
      </c>
      <c r="E1217" s="3">
        <v>290.60998499999999</v>
      </c>
      <c r="F1217" s="3">
        <f t="shared" si="108"/>
        <v>2018</v>
      </c>
      <c r="G1217" s="3" t="str">
        <f t="shared" si="109"/>
        <v>Feb</v>
      </c>
      <c r="H1217" s="3" t="str">
        <f t="shared" si="110"/>
        <v>Q1</v>
      </c>
      <c r="I1217" s="3">
        <f t="shared" si="111"/>
        <v>3.1083149659163263E-4</v>
      </c>
      <c r="J1217" s="3">
        <f t="shared" si="112"/>
        <v>-2.4570575043817156E-2</v>
      </c>
      <c r="K1217" s="3" t="str">
        <f t="shared" si="113"/>
        <v>Normal</v>
      </c>
      <c r="L1217" s="4">
        <f>VALUE(A1217)</f>
        <v>43158</v>
      </c>
    </row>
    <row r="1218" spans="1:12">
      <c r="A1218" s="5">
        <v>43159</v>
      </c>
      <c r="B1218" s="3">
        <v>1512.4499510000001</v>
      </c>
      <c r="C1218" s="3">
        <v>219.92575099999999</v>
      </c>
      <c r="D1218" s="3">
        <v>10334.440430000001</v>
      </c>
      <c r="E1218" s="3">
        <v>291.38000499999998</v>
      </c>
      <c r="F1218" s="3">
        <f t="shared" si="108"/>
        <v>2018</v>
      </c>
      <c r="G1218" s="3" t="str">
        <f t="shared" si="109"/>
        <v>Feb</v>
      </c>
      <c r="H1218" s="3" t="str">
        <f t="shared" si="110"/>
        <v>Q1</v>
      </c>
      <c r="I1218" s="3">
        <f t="shared" si="111"/>
        <v>-1.256239916397736E-2</v>
      </c>
      <c r="J1218" s="3">
        <f t="shared" si="112"/>
        <v>5.7567673260079839E-2</v>
      </c>
      <c r="K1218" s="3" t="str">
        <f t="shared" si="113"/>
        <v>High Volatility</v>
      </c>
      <c r="L1218" s="4">
        <f>VALUE(A1218)</f>
        <v>43159</v>
      </c>
    </row>
    <row r="1219" spans="1:12">
      <c r="A1219" s="5">
        <v>43160</v>
      </c>
      <c r="B1219" s="3">
        <v>1493.4499510000001</v>
      </c>
      <c r="C1219" s="3">
        <v>220.33116100000001</v>
      </c>
      <c r="D1219" s="3">
        <v>10929.37012</v>
      </c>
      <c r="E1219" s="3">
        <v>290.39001500000001</v>
      </c>
      <c r="F1219" s="3">
        <f t="shared" ref="F1219:F1282" si="114">YEAR(A1219)</f>
        <v>2018</v>
      </c>
      <c r="G1219" s="3" t="str">
        <f t="shared" ref="G1219:G1282" si="115">TEXT(A1219,"MMM")</f>
        <v>Mar</v>
      </c>
      <c r="H1219" s="3" t="str">
        <f t="shared" ref="H1219:H1282" si="116">"Q"&amp;ROUNDUP(MONTH(A1219)/3,0)</f>
        <v>Q1</v>
      </c>
      <c r="I1219" s="3">
        <f t="shared" ref="I1219:I1282" si="117">(B1220-B1219)/B1219</f>
        <v>4.5532486679226818E-3</v>
      </c>
      <c r="J1219" s="3">
        <f t="shared" ref="J1219:J1282" si="118">(D1220-D1219)/D1219</f>
        <v>1.0407736104740866E-2</v>
      </c>
      <c r="K1219" s="3" t="str">
        <f t="shared" ref="K1219:K1282" si="119">IF(J1219="","",IF(ABS(J1219)&gt;0.05,"High Volatility","Normal"))</f>
        <v>Normal</v>
      </c>
      <c r="L1219" s="4">
        <f>VALUE(A1219)</f>
        <v>43160</v>
      </c>
    </row>
    <row r="1220" spans="1:12">
      <c r="A1220" s="5">
        <v>43161</v>
      </c>
      <c r="B1220" s="3">
        <v>1500.25</v>
      </c>
      <c r="C1220" s="3">
        <v>220.608047</v>
      </c>
      <c r="D1220" s="3">
        <v>11043.12012</v>
      </c>
      <c r="E1220" s="3">
        <v>301.04998799999998</v>
      </c>
      <c r="F1220" s="3">
        <f t="shared" si="114"/>
        <v>2018</v>
      </c>
      <c r="G1220" s="3" t="str">
        <f t="shared" si="115"/>
        <v>Mar</v>
      </c>
      <c r="H1220" s="3" t="str">
        <f t="shared" si="116"/>
        <v>Q1</v>
      </c>
      <c r="I1220" s="3">
        <f t="shared" si="117"/>
        <v>1.5570728211964707E-2</v>
      </c>
      <c r="J1220" s="3">
        <f t="shared" si="118"/>
        <v>3.6005254464261033E-2</v>
      </c>
      <c r="K1220" s="3" t="str">
        <f t="shared" si="119"/>
        <v>Normal</v>
      </c>
      <c r="L1220" s="4">
        <f>VALUE(A1220)</f>
        <v>43161</v>
      </c>
    </row>
    <row r="1221" spans="1:12">
      <c r="A1221" s="5">
        <v>43164</v>
      </c>
      <c r="B1221" s="3">
        <v>1523.6099850000001</v>
      </c>
      <c r="C1221" s="3">
        <v>217.15701300000001</v>
      </c>
      <c r="D1221" s="3">
        <v>11440.73047</v>
      </c>
      <c r="E1221" s="3">
        <v>315</v>
      </c>
      <c r="F1221" s="3">
        <f t="shared" si="114"/>
        <v>2018</v>
      </c>
      <c r="G1221" s="3" t="str">
        <f t="shared" si="115"/>
        <v>Mar</v>
      </c>
      <c r="H1221" s="3" t="str">
        <f t="shared" si="116"/>
        <v>Q1</v>
      </c>
      <c r="I1221" s="3">
        <f t="shared" si="117"/>
        <v>9.2084130047230539E-3</v>
      </c>
      <c r="J1221" s="3">
        <f t="shared" si="118"/>
        <v>-6.1646436986641212E-2</v>
      </c>
      <c r="K1221" s="3" t="str">
        <f t="shared" si="119"/>
        <v>High Volatility</v>
      </c>
      <c r="L1221" s="4">
        <f>VALUE(A1221)</f>
        <v>43164</v>
      </c>
    </row>
    <row r="1222" spans="1:12">
      <c r="A1222" s="5">
        <v>43165</v>
      </c>
      <c r="B1222" s="3">
        <v>1537.6400149999999</v>
      </c>
      <c r="C1222" s="3">
        <v>218.966568</v>
      </c>
      <c r="D1222" s="3">
        <v>10735.450199999999</v>
      </c>
      <c r="E1222" s="3">
        <v>325.22000100000002</v>
      </c>
      <c r="F1222" s="3">
        <f t="shared" si="114"/>
        <v>2018</v>
      </c>
      <c r="G1222" s="3" t="str">
        <f t="shared" si="115"/>
        <v>Mar</v>
      </c>
      <c r="H1222" s="3" t="str">
        <f t="shared" si="116"/>
        <v>Q1</v>
      </c>
      <c r="I1222" s="3">
        <f t="shared" si="117"/>
        <v>4.7865462190121609E-3</v>
      </c>
      <c r="J1222" s="3">
        <f t="shared" si="118"/>
        <v>-7.5161322065468661E-2</v>
      </c>
      <c r="K1222" s="3" t="str">
        <f t="shared" si="119"/>
        <v>High Volatility</v>
      </c>
      <c r="L1222" s="4">
        <f>VALUE(A1222)</f>
        <v>43165</v>
      </c>
    </row>
    <row r="1223" spans="1:12">
      <c r="A1223" s="5">
        <v>43166</v>
      </c>
      <c r="B1223" s="3">
        <v>1545</v>
      </c>
      <c r="C1223" s="3">
        <v>220.469604</v>
      </c>
      <c r="D1223" s="3">
        <v>9928.5595699999994</v>
      </c>
      <c r="E1223" s="3">
        <v>321.16000400000001</v>
      </c>
      <c r="F1223" s="3">
        <f t="shared" si="114"/>
        <v>2018</v>
      </c>
      <c r="G1223" s="3" t="str">
        <f t="shared" si="115"/>
        <v>Mar</v>
      </c>
      <c r="H1223" s="3" t="str">
        <f t="shared" si="116"/>
        <v>Q1</v>
      </c>
      <c r="I1223" s="3">
        <f t="shared" si="117"/>
        <v>4.4401197411003566E-3</v>
      </c>
      <c r="J1223" s="3">
        <f t="shared" si="118"/>
        <v>-6.1624230452192348E-2</v>
      </c>
      <c r="K1223" s="3" t="str">
        <f t="shared" si="119"/>
        <v>High Volatility</v>
      </c>
      <c r="L1223" s="4">
        <f>VALUE(A1223)</f>
        <v>43166</v>
      </c>
    </row>
    <row r="1224" spans="1:12">
      <c r="A1224" s="5">
        <v>43167</v>
      </c>
      <c r="B1224" s="3">
        <v>1551.8599850000001</v>
      </c>
      <c r="C1224" s="3">
        <v>220.29161099999999</v>
      </c>
      <c r="D1224" s="3">
        <v>9316.7197269999997</v>
      </c>
      <c r="E1224" s="3">
        <v>317</v>
      </c>
      <c r="F1224" s="3">
        <f t="shared" si="114"/>
        <v>2018</v>
      </c>
      <c r="G1224" s="3" t="str">
        <f t="shared" si="115"/>
        <v>Mar</v>
      </c>
      <c r="H1224" s="3" t="str">
        <f t="shared" si="116"/>
        <v>Q1</v>
      </c>
      <c r="I1224" s="3">
        <f t="shared" si="117"/>
        <v>1.7417827807448685E-2</v>
      </c>
      <c r="J1224" s="3">
        <f t="shared" si="118"/>
        <v>-6.8650729950202865E-3</v>
      </c>
      <c r="K1224" s="3" t="str">
        <f t="shared" si="119"/>
        <v>Normal</v>
      </c>
      <c r="L1224" s="4">
        <f>VALUE(A1224)</f>
        <v>43167</v>
      </c>
    </row>
    <row r="1225" spans="1:12">
      <c r="A1225" s="5">
        <v>43168</v>
      </c>
      <c r="B1225" s="3">
        <v>1578.8900149999999</v>
      </c>
      <c r="C1225" s="3">
        <v>227.68806499999999</v>
      </c>
      <c r="D1225" s="3">
        <v>9252.7597659999992</v>
      </c>
      <c r="E1225" s="3">
        <v>331.44000199999999</v>
      </c>
      <c r="F1225" s="3">
        <f t="shared" si="114"/>
        <v>2018</v>
      </c>
      <c r="G1225" s="3" t="str">
        <f t="shared" si="115"/>
        <v>Mar</v>
      </c>
      <c r="H1225" s="3" t="str">
        <f t="shared" si="116"/>
        <v>Q1</v>
      </c>
      <c r="I1225" s="3">
        <f t="shared" si="117"/>
        <v>1.2350448615637107E-2</v>
      </c>
      <c r="J1225" s="3">
        <f t="shared" si="118"/>
        <v>-1.195420369676547E-2</v>
      </c>
      <c r="K1225" s="3" t="str">
        <f t="shared" si="119"/>
        <v>Normal</v>
      </c>
      <c r="L1225" s="4">
        <f>VALUE(A1225)</f>
        <v>43168</v>
      </c>
    </row>
    <row r="1226" spans="1:12">
      <c r="A1226" s="5">
        <v>43171</v>
      </c>
      <c r="B1226" s="3">
        <v>1598.3900149999999</v>
      </c>
      <c r="C1226" s="3">
        <v>225.14674400000001</v>
      </c>
      <c r="D1226" s="3">
        <v>9142.1503909999992</v>
      </c>
      <c r="E1226" s="3">
        <v>321.29998799999998</v>
      </c>
      <c r="F1226" s="3">
        <f t="shared" si="114"/>
        <v>2018</v>
      </c>
      <c r="G1226" s="3" t="str">
        <f t="shared" si="115"/>
        <v>Mar</v>
      </c>
      <c r="H1226" s="3" t="str">
        <f t="shared" si="116"/>
        <v>Q1</v>
      </c>
      <c r="I1226" s="3">
        <f t="shared" si="117"/>
        <v>-6.3876531410889861E-3</v>
      </c>
      <c r="J1226" s="3">
        <f t="shared" si="118"/>
        <v>1.9655907233479216E-3</v>
      </c>
      <c r="K1226" s="3" t="str">
        <f t="shared" si="119"/>
        <v>Normal</v>
      </c>
      <c r="L1226" s="4">
        <f>VALUE(A1226)</f>
        <v>43171</v>
      </c>
    </row>
    <row r="1227" spans="1:12">
      <c r="A1227" s="5">
        <v>43172</v>
      </c>
      <c r="B1227" s="3">
        <v>1588.1800539999999</v>
      </c>
      <c r="C1227" s="3">
        <v>223.87117000000001</v>
      </c>
      <c r="D1227" s="3">
        <v>9160.1201170000004</v>
      </c>
      <c r="E1227" s="3">
        <v>315.88000499999998</v>
      </c>
      <c r="F1227" s="3">
        <f t="shared" si="114"/>
        <v>2018</v>
      </c>
      <c r="G1227" s="3" t="str">
        <f t="shared" si="115"/>
        <v>Mar</v>
      </c>
      <c r="H1227" s="3" t="str">
        <f t="shared" si="116"/>
        <v>Q1</v>
      </c>
      <c r="I1227" s="3">
        <f t="shared" si="117"/>
        <v>1.775583311789957E-3</v>
      </c>
      <c r="J1227" s="3">
        <f t="shared" si="118"/>
        <v>-0.10288292183537978</v>
      </c>
      <c r="K1227" s="3" t="str">
        <f t="shared" si="119"/>
        <v>High Volatility</v>
      </c>
      <c r="L1227" s="4">
        <f>VALUE(A1227)</f>
        <v>43172</v>
      </c>
    </row>
    <row r="1228" spans="1:12">
      <c r="A1228" s="5">
        <v>43173</v>
      </c>
      <c r="B1228" s="3">
        <v>1591</v>
      </c>
      <c r="C1228" s="3">
        <v>224.67408800000001</v>
      </c>
      <c r="D1228" s="3">
        <v>8217.7001949999994</v>
      </c>
      <c r="E1228" s="3">
        <v>321.54998799999998</v>
      </c>
      <c r="F1228" s="3">
        <f t="shared" si="114"/>
        <v>2018</v>
      </c>
      <c r="G1228" s="3" t="str">
        <f t="shared" si="115"/>
        <v>Mar</v>
      </c>
      <c r="H1228" s="3" t="str">
        <f t="shared" si="116"/>
        <v>Q1</v>
      </c>
      <c r="I1228" s="3">
        <f t="shared" si="117"/>
        <v>-5.4557221873035369E-3</v>
      </c>
      <c r="J1228" s="3">
        <f t="shared" si="118"/>
        <v>6.1708214946627751E-3</v>
      </c>
      <c r="K1228" s="3" t="str">
        <f t="shared" si="119"/>
        <v>Normal</v>
      </c>
      <c r="L1228" s="4">
        <f>VALUE(A1228)</f>
        <v>43173</v>
      </c>
    </row>
    <row r="1229" spans="1:12">
      <c r="A1229" s="5">
        <v>43174</v>
      </c>
      <c r="B1229" s="3">
        <v>1582.3199460000001</v>
      </c>
      <c r="C1229" s="3">
        <v>224.83268699999999</v>
      </c>
      <c r="D1229" s="3">
        <v>8268.4101559999999</v>
      </c>
      <c r="E1229" s="3">
        <v>321.08999599999999</v>
      </c>
      <c r="F1229" s="3">
        <f t="shared" si="114"/>
        <v>2018</v>
      </c>
      <c r="G1229" s="3" t="str">
        <f t="shared" si="115"/>
        <v>Mar</v>
      </c>
      <c r="H1229" s="3" t="str">
        <f t="shared" si="116"/>
        <v>Q1</v>
      </c>
      <c r="I1229" s="3">
        <f t="shared" si="117"/>
        <v>-6.7242355295445066E-3</v>
      </c>
      <c r="J1229" s="3">
        <f t="shared" si="118"/>
        <v>1.7924017701571998E-3</v>
      </c>
      <c r="K1229" s="3" t="str">
        <f t="shared" si="119"/>
        <v>Normal</v>
      </c>
      <c r="L1229" s="4">
        <f>VALUE(A1229)</f>
        <v>43174</v>
      </c>
    </row>
    <row r="1230" spans="1:12">
      <c r="A1230" s="5">
        <v>43175</v>
      </c>
      <c r="B1230" s="3">
        <v>1571.6800539999999</v>
      </c>
      <c r="C1230" s="3">
        <v>227.77662699999999</v>
      </c>
      <c r="D1230" s="3">
        <v>8283.2304690000001</v>
      </c>
      <c r="E1230" s="3">
        <v>318.45001200000002</v>
      </c>
      <c r="F1230" s="3">
        <f t="shared" si="114"/>
        <v>2018</v>
      </c>
      <c r="G1230" s="3" t="str">
        <f t="shared" si="115"/>
        <v>Mar</v>
      </c>
      <c r="H1230" s="3" t="str">
        <f t="shared" si="116"/>
        <v>Q1</v>
      </c>
      <c r="I1230" s="3">
        <f t="shared" si="117"/>
        <v>-1.7020003487300095E-2</v>
      </c>
      <c r="J1230" s="3">
        <f t="shared" si="118"/>
        <v>4.1035822952423057E-2</v>
      </c>
      <c r="K1230" s="3" t="str">
        <f t="shared" si="119"/>
        <v>Normal</v>
      </c>
      <c r="L1230" s="4">
        <f>VALUE(A1230)</f>
        <v>43175</v>
      </c>
    </row>
    <row r="1231" spans="1:12">
      <c r="A1231" s="5">
        <v>43178</v>
      </c>
      <c r="B1231" s="3">
        <v>1544.9300539999999</v>
      </c>
      <c r="C1231" s="3">
        <v>225.675217</v>
      </c>
      <c r="D1231" s="3">
        <v>8623.1396480000003</v>
      </c>
      <c r="E1231" s="3">
        <v>313.48001099999999</v>
      </c>
      <c r="F1231" s="3">
        <f t="shared" si="114"/>
        <v>2018</v>
      </c>
      <c r="G1231" s="3" t="str">
        <f t="shared" si="115"/>
        <v>Mar</v>
      </c>
      <c r="H1231" s="3" t="str">
        <f t="shared" si="116"/>
        <v>Q1</v>
      </c>
      <c r="I1231" s="3">
        <f t="shared" si="117"/>
        <v>2.6913811335564867E-2</v>
      </c>
      <c r="J1231" s="3">
        <f t="shared" si="118"/>
        <v>3.4508349063907005E-2</v>
      </c>
      <c r="K1231" s="3" t="str">
        <f t="shared" si="119"/>
        <v>Normal</v>
      </c>
      <c r="L1231" s="4">
        <f>VALUE(A1231)</f>
        <v>43178</v>
      </c>
    </row>
    <row r="1232" spans="1:12">
      <c r="A1232" s="5">
        <v>43179</v>
      </c>
      <c r="B1232" s="3">
        <v>1586.51001</v>
      </c>
      <c r="C1232" s="3">
        <v>229.56088299999999</v>
      </c>
      <c r="D1232" s="3">
        <v>8920.7099610000005</v>
      </c>
      <c r="E1232" s="3">
        <v>317.5</v>
      </c>
      <c r="F1232" s="3">
        <f t="shared" si="114"/>
        <v>2018</v>
      </c>
      <c r="G1232" s="3" t="str">
        <f t="shared" si="115"/>
        <v>Mar</v>
      </c>
      <c r="H1232" s="3" t="str">
        <f t="shared" si="116"/>
        <v>Q1</v>
      </c>
      <c r="I1232" s="3">
        <f t="shared" si="117"/>
        <v>-2.9309774099691398E-3</v>
      </c>
      <c r="J1232" s="3">
        <f t="shared" si="118"/>
        <v>-1.0492833015445791E-3</v>
      </c>
      <c r="K1232" s="3" t="str">
        <f t="shared" si="119"/>
        <v>Normal</v>
      </c>
      <c r="L1232" s="4">
        <f>VALUE(A1232)</f>
        <v>43179</v>
      </c>
    </row>
    <row r="1233" spans="1:12">
      <c r="A1233" s="5">
        <v>43180</v>
      </c>
      <c r="B1233" s="3">
        <v>1581.8599850000001</v>
      </c>
      <c r="C1233" s="3">
        <v>226.26005599999999</v>
      </c>
      <c r="D1233" s="3">
        <v>8911.3496090000008</v>
      </c>
      <c r="E1233" s="3">
        <v>316.48001099999999</v>
      </c>
      <c r="F1233" s="3">
        <f t="shared" si="114"/>
        <v>2018</v>
      </c>
      <c r="G1233" s="3" t="str">
        <f t="shared" si="115"/>
        <v>Mar</v>
      </c>
      <c r="H1233" s="3" t="str">
        <f t="shared" si="116"/>
        <v>Q1</v>
      </c>
      <c r="I1233" s="3">
        <f t="shared" si="117"/>
        <v>-2.3352219128294143E-2</v>
      </c>
      <c r="J1233" s="3">
        <f t="shared" si="118"/>
        <v>-2.0913682907443956E-2</v>
      </c>
      <c r="K1233" s="3" t="str">
        <f t="shared" si="119"/>
        <v>Normal</v>
      </c>
      <c r="L1233" s="4">
        <f>VALUE(A1233)</f>
        <v>43180</v>
      </c>
    </row>
    <row r="1234" spans="1:12">
      <c r="A1234" s="5">
        <v>43181</v>
      </c>
      <c r="B1234" s="3">
        <v>1544.920044</v>
      </c>
      <c r="C1234" s="3">
        <v>224.41635099999999</v>
      </c>
      <c r="D1234" s="3">
        <v>8724.9804690000001</v>
      </c>
      <c r="E1234" s="3">
        <v>306.70001200000002</v>
      </c>
      <c r="F1234" s="3">
        <f t="shared" si="114"/>
        <v>2018</v>
      </c>
      <c r="G1234" s="3" t="str">
        <f t="shared" si="115"/>
        <v>Mar</v>
      </c>
      <c r="H1234" s="3" t="str">
        <f t="shared" si="116"/>
        <v>Q1</v>
      </c>
      <c r="I1234" s="3">
        <f t="shared" si="117"/>
        <v>-3.1949863807968076E-2</v>
      </c>
      <c r="J1234" s="3">
        <f t="shared" si="118"/>
        <v>2.4048115264612001E-2</v>
      </c>
      <c r="K1234" s="3" t="str">
        <f t="shared" si="119"/>
        <v>Normal</v>
      </c>
      <c r="L1234" s="4">
        <f>VALUE(A1234)</f>
        <v>43181</v>
      </c>
    </row>
    <row r="1235" spans="1:12">
      <c r="A1235" s="5">
        <v>43182</v>
      </c>
      <c r="B1235" s="3">
        <v>1495.5600589999999</v>
      </c>
      <c r="C1235" s="3">
        <v>224.66413900000001</v>
      </c>
      <c r="D1235" s="3">
        <v>8934.7998050000006</v>
      </c>
      <c r="E1235" s="3">
        <v>300.94000199999999</v>
      </c>
      <c r="F1235" s="3">
        <f t="shared" si="114"/>
        <v>2018</v>
      </c>
      <c r="G1235" s="3" t="str">
        <f t="shared" si="115"/>
        <v>Mar</v>
      </c>
      <c r="H1235" s="3" t="str">
        <f t="shared" si="116"/>
        <v>Q1</v>
      </c>
      <c r="I1235" s="3">
        <f t="shared" si="117"/>
        <v>4.0319294191581603E-2</v>
      </c>
      <c r="J1235" s="3">
        <f t="shared" si="118"/>
        <v>-0.12605988377822422</v>
      </c>
      <c r="K1235" s="3" t="str">
        <f t="shared" si="119"/>
        <v>High Volatility</v>
      </c>
      <c r="L1235" s="4">
        <f>VALUE(A1235)</f>
        <v>43182</v>
      </c>
    </row>
    <row r="1236" spans="1:12">
      <c r="A1236" s="5">
        <v>43185</v>
      </c>
      <c r="B1236" s="3">
        <v>1555.8599850000001</v>
      </c>
      <c r="C1236" s="3">
        <v>229.253601</v>
      </c>
      <c r="D1236" s="3">
        <v>7808.4799800000001</v>
      </c>
      <c r="E1236" s="3">
        <v>320.35000600000001</v>
      </c>
      <c r="F1236" s="3">
        <f t="shared" si="114"/>
        <v>2018</v>
      </c>
      <c r="G1236" s="3" t="str">
        <f t="shared" si="115"/>
        <v>Mar</v>
      </c>
      <c r="H1236" s="3" t="str">
        <f t="shared" si="116"/>
        <v>Q1</v>
      </c>
      <c r="I1236" s="3">
        <f t="shared" si="117"/>
        <v>-3.7798989990734999E-2</v>
      </c>
      <c r="J1236" s="3">
        <f t="shared" si="118"/>
        <v>1.9376345381883101E-2</v>
      </c>
      <c r="K1236" s="3" t="str">
        <f t="shared" si="119"/>
        <v>Normal</v>
      </c>
      <c r="L1236" s="4">
        <f>VALUE(A1236)</f>
        <v>43185</v>
      </c>
    </row>
    <row r="1237" spans="1:12">
      <c r="A1237" s="5">
        <v>43186</v>
      </c>
      <c r="B1237" s="3">
        <v>1497.0500489999999</v>
      </c>
      <c r="C1237" s="3">
        <v>229.55096399999999</v>
      </c>
      <c r="D1237" s="3">
        <v>7959.7797849999997</v>
      </c>
      <c r="E1237" s="3">
        <v>300.69000199999999</v>
      </c>
      <c r="F1237" s="3">
        <f t="shared" si="114"/>
        <v>2018</v>
      </c>
      <c r="G1237" s="3" t="str">
        <f t="shared" si="115"/>
        <v>Mar</v>
      </c>
      <c r="H1237" s="3" t="str">
        <f t="shared" si="116"/>
        <v>Q1</v>
      </c>
      <c r="I1237" s="3">
        <f t="shared" si="117"/>
        <v>-4.3839553022184889E-2</v>
      </c>
      <c r="J1237" s="3">
        <f t="shared" si="118"/>
        <v>-0.10718382807621848</v>
      </c>
      <c r="K1237" s="3" t="str">
        <f t="shared" si="119"/>
        <v>High Volatility</v>
      </c>
      <c r="L1237" s="4">
        <f>VALUE(A1237)</f>
        <v>43186</v>
      </c>
    </row>
    <row r="1238" spans="1:12">
      <c r="A1238" s="5">
        <v>43187</v>
      </c>
      <c r="B1238" s="3">
        <v>1431.420044</v>
      </c>
      <c r="C1238" s="3">
        <v>231.82089199999999</v>
      </c>
      <c r="D1238" s="3">
        <v>7106.6201170000004</v>
      </c>
      <c r="E1238" s="3">
        <v>285.76998900000001</v>
      </c>
      <c r="F1238" s="3">
        <f t="shared" si="114"/>
        <v>2018</v>
      </c>
      <c r="G1238" s="3" t="str">
        <f t="shared" si="115"/>
        <v>Mar</v>
      </c>
      <c r="H1238" s="3" t="str">
        <f t="shared" si="116"/>
        <v>Q1</v>
      </c>
      <c r="I1238" s="3">
        <f t="shared" si="117"/>
        <v>1.1121768251555966E-2</v>
      </c>
      <c r="J1238" s="3">
        <f t="shared" si="118"/>
        <v>-3.5580957872663542E-2</v>
      </c>
      <c r="K1238" s="3" t="str">
        <f t="shared" si="119"/>
        <v>Normal</v>
      </c>
      <c r="L1238" s="4">
        <f>VALUE(A1238)</f>
        <v>43187</v>
      </c>
    </row>
    <row r="1239" spans="1:12">
      <c r="A1239" s="5">
        <v>43188</v>
      </c>
      <c r="B1239" s="3">
        <v>1447.339966</v>
      </c>
      <c r="C1239" s="3">
        <v>231.513611</v>
      </c>
      <c r="D1239" s="3">
        <v>6853.7597660000001</v>
      </c>
      <c r="E1239" s="3">
        <v>295.35000600000001</v>
      </c>
      <c r="F1239" s="3">
        <f t="shared" si="114"/>
        <v>2018</v>
      </c>
      <c r="G1239" s="3" t="str">
        <f t="shared" si="115"/>
        <v>Mar</v>
      </c>
      <c r="H1239" s="3" t="str">
        <f t="shared" si="116"/>
        <v>Q1</v>
      </c>
      <c r="I1239" s="3">
        <f t="shared" si="117"/>
        <v>-5.2061006930005531E-2</v>
      </c>
      <c r="J1239" s="3">
        <f t="shared" si="118"/>
        <v>8.4703879158404619E-2</v>
      </c>
      <c r="K1239" s="3" t="str">
        <f t="shared" si="119"/>
        <v>High Volatility</v>
      </c>
      <c r="L1239" s="4">
        <f>VALUE(A1239)</f>
        <v>43188</v>
      </c>
    </row>
    <row r="1240" spans="1:12">
      <c r="A1240" s="5">
        <v>43192</v>
      </c>
      <c r="B1240" s="3">
        <v>1371.98999</v>
      </c>
      <c r="C1240" s="3">
        <v>228.40112300000001</v>
      </c>
      <c r="D1240" s="3">
        <v>7434.2998049999997</v>
      </c>
      <c r="E1240" s="3">
        <v>280.290009</v>
      </c>
      <c r="F1240" s="3">
        <f t="shared" si="114"/>
        <v>2018</v>
      </c>
      <c r="G1240" s="3" t="str">
        <f t="shared" si="115"/>
        <v>Apr</v>
      </c>
      <c r="H1240" s="3" t="str">
        <f t="shared" si="116"/>
        <v>Q2</v>
      </c>
      <c r="I1240" s="3">
        <f t="shared" si="117"/>
        <v>1.4621140931210372E-2</v>
      </c>
      <c r="J1240" s="3">
        <f t="shared" si="118"/>
        <v>-8.3235788336625968E-2</v>
      </c>
      <c r="K1240" s="3" t="str">
        <f t="shared" si="119"/>
        <v>High Volatility</v>
      </c>
      <c r="L1240" s="4">
        <f>VALUE(A1240)</f>
        <v>43192</v>
      </c>
    </row>
    <row r="1241" spans="1:12">
      <c r="A1241" s="5">
        <v>43193</v>
      </c>
      <c r="B1241" s="3">
        <v>1392.0500489999999</v>
      </c>
      <c r="C1241" s="3">
        <v>231.42439300000001</v>
      </c>
      <c r="D1241" s="3">
        <v>6815.5</v>
      </c>
      <c r="E1241" s="3">
        <v>283.67001299999998</v>
      </c>
      <c r="F1241" s="3">
        <f t="shared" si="114"/>
        <v>2018</v>
      </c>
      <c r="G1241" s="3" t="str">
        <f t="shared" si="115"/>
        <v>Apr</v>
      </c>
      <c r="H1241" s="3" t="str">
        <f t="shared" si="116"/>
        <v>Q2</v>
      </c>
      <c r="I1241" s="3">
        <f t="shared" si="117"/>
        <v>1.3304045363386306E-2</v>
      </c>
      <c r="J1241" s="3">
        <f t="shared" si="118"/>
        <v>-3.6754170640451401E-3</v>
      </c>
      <c r="K1241" s="3" t="str">
        <f t="shared" si="119"/>
        <v>Normal</v>
      </c>
      <c r="L1241" s="4">
        <f>VALUE(A1241)</f>
        <v>43193</v>
      </c>
    </row>
    <row r="1242" spans="1:12">
      <c r="A1242" s="5">
        <v>43194</v>
      </c>
      <c r="B1242" s="3">
        <v>1410.5699460000001</v>
      </c>
      <c r="C1242" s="3">
        <v>229.422089</v>
      </c>
      <c r="D1242" s="3">
        <v>6790.4501950000003</v>
      </c>
      <c r="E1242" s="3">
        <v>288.94000199999999</v>
      </c>
      <c r="F1242" s="3">
        <f t="shared" si="114"/>
        <v>2018</v>
      </c>
      <c r="G1242" s="3" t="str">
        <f t="shared" si="115"/>
        <v>Apr</v>
      </c>
      <c r="H1242" s="3" t="str">
        <f t="shared" si="116"/>
        <v>Q2</v>
      </c>
      <c r="I1242" s="3">
        <f t="shared" si="117"/>
        <v>2.9193911380839759E-2</v>
      </c>
      <c r="J1242" s="3">
        <f t="shared" si="118"/>
        <v>-2.2913109960598227E-2</v>
      </c>
      <c r="K1242" s="3" t="str">
        <f t="shared" si="119"/>
        <v>Normal</v>
      </c>
      <c r="L1242" s="4">
        <f>VALUE(A1242)</f>
        <v>43194</v>
      </c>
    </row>
    <row r="1243" spans="1:12">
      <c r="A1243" s="5">
        <v>43195</v>
      </c>
      <c r="B1243" s="3">
        <v>1451.75</v>
      </c>
      <c r="C1243" s="3">
        <v>233.724075</v>
      </c>
      <c r="D1243" s="3">
        <v>6634.8598629999997</v>
      </c>
      <c r="E1243" s="3">
        <v>293.97000100000002</v>
      </c>
      <c r="F1243" s="3">
        <f t="shared" si="114"/>
        <v>2018</v>
      </c>
      <c r="G1243" s="3" t="str">
        <f t="shared" si="115"/>
        <v>Apr</v>
      </c>
      <c r="H1243" s="3" t="str">
        <f t="shared" si="116"/>
        <v>Q2</v>
      </c>
      <c r="I1243" s="3">
        <f t="shared" si="117"/>
        <v>-3.2044098501808116E-2</v>
      </c>
      <c r="J1243" s="3">
        <f t="shared" si="118"/>
        <v>4.2554076171902516E-2</v>
      </c>
      <c r="K1243" s="3" t="str">
        <f t="shared" si="119"/>
        <v>Normal</v>
      </c>
      <c r="L1243" s="4">
        <f>VALUE(A1243)</f>
        <v>43195</v>
      </c>
    </row>
    <row r="1244" spans="1:12">
      <c r="A1244" s="5">
        <v>43196</v>
      </c>
      <c r="B1244" s="3">
        <v>1405.2299800000001</v>
      </c>
      <c r="C1244" s="3">
        <v>229.432007</v>
      </c>
      <c r="D1244" s="3">
        <v>6917.2001950000003</v>
      </c>
      <c r="E1244" s="3">
        <v>288.85000600000001</v>
      </c>
      <c r="F1244" s="3">
        <f t="shared" si="114"/>
        <v>2018</v>
      </c>
      <c r="G1244" s="3" t="str">
        <f t="shared" si="115"/>
        <v>Apr</v>
      </c>
      <c r="H1244" s="3" t="str">
        <f t="shared" si="116"/>
        <v>Q2</v>
      </c>
      <c r="I1244" s="3">
        <f t="shared" si="117"/>
        <v>6.0486611593638898E-4</v>
      </c>
      <c r="J1244" s="3">
        <f t="shared" si="118"/>
        <v>-6.6689368096278139E-3</v>
      </c>
      <c r="K1244" s="3" t="str">
        <f t="shared" si="119"/>
        <v>Normal</v>
      </c>
      <c r="L1244" s="4">
        <f>VALUE(A1244)</f>
        <v>43196</v>
      </c>
    </row>
    <row r="1245" spans="1:12">
      <c r="A1245" s="5">
        <v>43199</v>
      </c>
      <c r="B1245" s="3">
        <v>1406.079956</v>
      </c>
      <c r="C1245" s="3">
        <v>230.39350899999999</v>
      </c>
      <c r="D1245" s="3">
        <v>6871.0698240000002</v>
      </c>
      <c r="E1245" s="3">
        <v>289.92999300000002</v>
      </c>
      <c r="F1245" s="3">
        <f t="shared" si="114"/>
        <v>2018</v>
      </c>
      <c r="G1245" s="3" t="str">
        <f t="shared" si="115"/>
        <v>Apr</v>
      </c>
      <c r="H1245" s="3" t="str">
        <f t="shared" si="116"/>
        <v>Q2</v>
      </c>
      <c r="I1245" s="3">
        <f t="shared" si="117"/>
        <v>2.1435491539003169E-2</v>
      </c>
      <c r="J1245" s="3">
        <f t="shared" si="118"/>
        <v>1.5435741699137105E-2</v>
      </c>
      <c r="K1245" s="3" t="str">
        <f t="shared" si="119"/>
        <v>Normal</v>
      </c>
      <c r="L1245" s="4">
        <f>VALUE(A1245)</f>
        <v>43199</v>
      </c>
    </row>
    <row r="1246" spans="1:12">
      <c r="A1246" s="5">
        <v>43200</v>
      </c>
      <c r="B1246" s="3">
        <v>1436.219971</v>
      </c>
      <c r="C1246" s="3">
        <v>229.66990699999999</v>
      </c>
      <c r="D1246" s="3">
        <v>6977.1298829999996</v>
      </c>
      <c r="E1246" s="3">
        <v>298.07000699999998</v>
      </c>
      <c r="F1246" s="3">
        <f t="shared" si="114"/>
        <v>2018</v>
      </c>
      <c r="G1246" s="3" t="str">
        <f t="shared" si="115"/>
        <v>Apr</v>
      </c>
      <c r="H1246" s="3" t="str">
        <f t="shared" si="116"/>
        <v>Q2</v>
      </c>
      <c r="I1246" s="3">
        <f t="shared" si="117"/>
        <v>-6.3847615164516064E-3</v>
      </c>
      <c r="J1246" s="3">
        <f t="shared" si="118"/>
        <v>0.13624514849811928</v>
      </c>
      <c r="K1246" s="3" t="str">
        <f t="shared" si="119"/>
        <v>High Volatility</v>
      </c>
      <c r="L1246" s="4">
        <f>VALUE(A1246)</f>
        <v>43200</v>
      </c>
    </row>
    <row r="1247" spans="1:12">
      <c r="A1247" s="5">
        <v>43201</v>
      </c>
      <c r="B1247" s="3">
        <v>1427.0500489999999</v>
      </c>
      <c r="C1247" s="3">
        <v>228.97602800000001</v>
      </c>
      <c r="D1247" s="3">
        <v>7927.7299800000001</v>
      </c>
      <c r="E1247" s="3">
        <v>303.67001299999998</v>
      </c>
      <c r="F1247" s="3">
        <f t="shared" si="114"/>
        <v>2018</v>
      </c>
      <c r="G1247" s="3" t="str">
        <f t="shared" si="115"/>
        <v>Apr</v>
      </c>
      <c r="H1247" s="3" t="str">
        <f t="shared" si="116"/>
        <v>Q2</v>
      </c>
      <c r="I1247" s="3">
        <f t="shared" si="117"/>
        <v>1.5030973170864631E-2</v>
      </c>
      <c r="J1247" s="3">
        <f t="shared" si="118"/>
        <v>-3.610127624452768E-3</v>
      </c>
      <c r="K1247" s="3" t="str">
        <f t="shared" si="119"/>
        <v>Normal</v>
      </c>
      <c r="L1247" s="4">
        <f>VALUE(A1247)</f>
        <v>43201</v>
      </c>
    </row>
    <row r="1248" spans="1:12">
      <c r="A1248" s="5">
        <v>43202</v>
      </c>
      <c r="B1248" s="3">
        <v>1448.5</v>
      </c>
      <c r="C1248" s="3">
        <v>229.45182800000001</v>
      </c>
      <c r="D1248" s="3">
        <v>7899.1098629999997</v>
      </c>
      <c r="E1248" s="3">
        <v>309.25</v>
      </c>
      <c r="F1248" s="3">
        <f t="shared" si="114"/>
        <v>2018</v>
      </c>
      <c r="G1248" s="3" t="str">
        <f t="shared" si="115"/>
        <v>Apr</v>
      </c>
      <c r="H1248" s="3" t="str">
        <f t="shared" si="116"/>
        <v>Q2</v>
      </c>
      <c r="I1248" s="3">
        <f t="shared" si="117"/>
        <v>-1.2226414221608575E-2</v>
      </c>
      <c r="J1248" s="3">
        <f t="shared" si="118"/>
        <v>1.5622001103949002E-2</v>
      </c>
      <c r="K1248" s="3" t="str">
        <f t="shared" si="119"/>
        <v>Normal</v>
      </c>
      <c r="L1248" s="4">
        <f>VALUE(A1248)</f>
        <v>43202</v>
      </c>
    </row>
    <row r="1249" spans="1:12">
      <c r="A1249" s="5">
        <v>43203</v>
      </c>
      <c r="B1249" s="3">
        <v>1430.790039</v>
      </c>
      <c r="C1249" s="3">
        <v>228.30201700000001</v>
      </c>
      <c r="D1249" s="3">
        <v>8022.5097660000001</v>
      </c>
      <c r="E1249" s="3">
        <v>311.64999399999999</v>
      </c>
      <c r="F1249" s="3">
        <f t="shared" si="114"/>
        <v>2018</v>
      </c>
      <c r="G1249" s="3" t="str">
        <f t="shared" si="115"/>
        <v>Apr</v>
      </c>
      <c r="H1249" s="3" t="str">
        <f t="shared" si="116"/>
        <v>Q2</v>
      </c>
      <c r="I1249" s="3">
        <f t="shared" si="117"/>
        <v>7.4853477505933495E-3</v>
      </c>
      <c r="J1249" s="3">
        <f t="shared" si="118"/>
        <v>-1.2574603950940271E-2</v>
      </c>
      <c r="K1249" s="3" t="str">
        <f t="shared" si="119"/>
        <v>Normal</v>
      </c>
      <c r="L1249" s="4">
        <f>VALUE(A1249)</f>
        <v>43203</v>
      </c>
    </row>
    <row r="1250" spans="1:12">
      <c r="A1250" s="5">
        <v>43206</v>
      </c>
      <c r="B1250" s="3">
        <v>1441.5</v>
      </c>
      <c r="C1250" s="3">
        <v>230.314224</v>
      </c>
      <c r="D1250" s="3">
        <v>7921.6298829999996</v>
      </c>
      <c r="E1250" s="3">
        <v>307.77999899999998</v>
      </c>
      <c r="F1250" s="3">
        <f t="shared" si="114"/>
        <v>2018</v>
      </c>
      <c r="G1250" s="3" t="str">
        <f t="shared" si="115"/>
        <v>Apr</v>
      </c>
      <c r="H1250" s="3" t="str">
        <f t="shared" si="116"/>
        <v>Q2</v>
      </c>
      <c r="I1250" s="3">
        <f t="shared" si="117"/>
        <v>4.3239650364203984E-2</v>
      </c>
      <c r="J1250" s="3">
        <f t="shared" si="118"/>
        <v>3.3873089498392558E-2</v>
      </c>
      <c r="K1250" s="3" t="str">
        <f t="shared" si="119"/>
        <v>Normal</v>
      </c>
      <c r="L1250" s="4">
        <f>VALUE(A1250)</f>
        <v>43206</v>
      </c>
    </row>
    <row r="1251" spans="1:12">
      <c r="A1251" s="5">
        <v>43207</v>
      </c>
      <c r="B1251" s="3">
        <v>1503.829956</v>
      </c>
      <c r="C1251" s="3">
        <v>235.082077</v>
      </c>
      <c r="D1251" s="3">
        <v>8189.9599609999996</v>
      </c>
      <c r="E1251" s="3">
        <v>336.05999800000001</v>
      </c>
      <c r="F1251" s="3">
        <f t="shared" si="114"/>
        <v>2018</v>
      </c>
      <c r="G1251" s="3" t="str">
        <f t="shared" si="115"/>
        <v>Apr</v>
      </c>
      <c r="H1251" s="3" t="str">
        <f t="shared" si="116"/>
        <v>Q2</v>
      </c>
      <c r="I1251" s="3">
        <f t="shared" si="117"/>
        <v>1.5965907517804471E-2</v>
      </c>
      <c r="J1251" s="3">
        <f t="shared" si="118"/>
        <v>1.3658229409261041E-2</v>
      </c>
      <c r="K1251" s="3" t="str">
        <f t="shared" si="119"/>
        <v>Normal</v>
      </c>
      <c r="L1251" s="4">
        <f>VALUE(A1251)</f>
        <v>43207</v>
      </c>
    </row>
    <row r="1252" spans="1:12">
      <c r="A1252" s="5">
        <v>43208</v>
      </c>
      <c r="B1252" s="3">
        <v>1527.839966</v>
      </c>
      <c r="C1252" s="3">
        <v>236.103058</v>
      </c>
      <c r="D1252" s="3">
        <v>8301.8203130000002</v>
      </c>
      <c r="E1252" s="3">
        <v>334.51998900000001</v>
      </c>
      <c r="F1252" s="3">
        <f t="shared" si="114"/>
        <v>2018</v>
      </c>
      <c r="G1252" s="3" t="str">
        <f t="shared" si="115"/>
        <v>Apr</v>
      </c>
      <c r="H1252" s="3" t="str">
        <f t="shared" si="116"/>
        <v>Q2</v>
      </c>
      <c r="I1252" s="3">
        <f t="shared" si="117"/>
        <v>1.9026906382157038E-2</v>
      </c>
      <c r="J1252" s="3">
        <f t="shared" si="118"/>
        <v>6.9293208394210729E-2</v>
      </c>
      <c r="K1252" s="3" t="str">
        <f t="shared" si="119"/>
        <v>High Volatility</v>
      </c>
      <c r="L1252" s="4">
        <f>VALUE(A1252)</f>
        <v>43208</v>
      </c>
    </row>
    <row r="1253" spans="1:12">
      <c r="A1253" s="5">
        <v>43209</v>
      </c>
      <c r="B1253" s="3">
        <v>1556.910034</v>
      </c>
      <c r="C1253" s="3">
        <v>238.58114599999999</v>
      </c>
      <c r="D1253" s="3">
        <v>8877.0800780000009</v>
      </c>
      <c r="E1253" s="3">
        <v>332.70001200000002</v>
      </c>
      <c r="F1253" s="3">
        <f t="shared" si="114"/>
        <v>2018</v>
      </c>
      <c r="G1253" s="3" t="str">
        <f t="shared" si="115"/>
        <v>Apr</v>
      </c>
      <c r="H1253" s="3" t="str">
        <f t="shared" si="116"/>
        <v>Q2</v>
      </c>
      <c r="I1253" s="3">
        <f t="shared" si="117"/>
        <v>-1.8896431622586588E-2</v>
      </c>
      <c r="J1253" s="3">
        <f t="shared" si="118"/>
        <v>6.6057361750430773E-3</v>
      </c>
      <c r="K1253" s="3" t="str">
        <f t="shared" si="119"/>
        <v>Normal</v>
      </c>
      <c r="L1253" s="4">
        <f>VALUE(A1253)</f>
        <v>43209</v>
      </c>
    </row>
    <row r="1254" spans="1:12">
      <c r="A1254" s="5">
        <v>43210</v>
      </c>
      <c r="B1254" s="3">
        <v>1527.48999</v>
      </c>
      <c r="C1254" s="3">
        <v>236.83656300000001</v>
      </c>
      <c r="D1254" s="3">
        <v>8935.7197269999997</v>
      </c>
      <c r="E1254" s="3">
        <v>327.76998900000001</v>
      </c>
      <c r="F1254" s="3">
        <f t="shared" si="114"/>
        <v>2018</v>
      </c>
      <c r="G1254" s="3" t="str">
        <f t="shared" si="115"/>
        <v>Apr</v>
      </c>
      <c r="H1254" s="3" t="str">
        <f t="shared" si="116"/>
        <v>Q2</v>
      </c>
      <c r="I1254" s="3">
        <f t="shared" si="117"/>
        <v>-6.3044635729494914E-3</v>
      </c>
      <c r="J1254" s="3">
        <f t="shared" si="118"/>
        <v>8.0581064088694671E-2</v>
      </c>
      <c r="K1254" s="3" t="str">
        <f t="shared" si="119"/>
        <v>High Volatility</v>
      </c>
      <c r="L1254" s="4">
        <f>VALUE(A1254)</f>
        <v>43210</v>
      </c>
    </row>
    <row r="1255" spans="1:12">
      <c r="A1255" s="5">
        <v>43213</v>
      </c>
      <c r="B1255" s="3">
        <v>1517.8599850000001</v>
      </c>
      <c r="C1255" s="3">
        <v>237.38172900000001</v>
      </c>
      <c r="D1255" s="3">
        <v>9655.7695309999999</v>
      </c>
      <c r="E1255" s="3">
        <v>318.69000199999999</v>
      </c>
      <c r="F1255" s="3">
        <f t="shared" si="114"/>
        <v>2018</v>
      </c>
      <c r="G1255" s="3" t="str">
        <f t="shared" si="115"/>
        <v>Apr</v>
      </c>
      <c r="H1255" s="3" t="str">
        <f t="shared" si="116"/>
        <v>Q2</v>
      </c>
      <c r="I1255" s="3">
        <f t="shared" si="117"/>
        <v>-3.8060176545203571E-2</v>
      </c>
      <c r="J1255" s="3">
        <f t="shared" si="118"/>
        <v>-8.1003322571950018E-2</v>
      </c>
      <c r="K1255" s="3" t="str">
        <f t="shared" si="119"/>
        <v>High Volatility</v>
      </c>
      <c r="L1255" s="4">
        <f>VALUE(A1255)</f>
        <v>43213</v>
      </c>
    </row>
    <row r="1256" spans="1:12">
      <c r="A1256" s="5">
        <v>43214</v>
      </c>
      <c r="B1256" s="3">
        <v>1460.089966</v>
      </c>
      <c r="C1256" s="3">
        <v>229.78887900000001</v>
      </c>
      <c r="D1256" s="3">
        <v>8873.6201170000004</v>
      </c>
      <c r="E1256" s="3">
        <v>307.01998900000001</v>
      </c>
      <c r="F1256" s="3">
        <f t="shared" si="114"/>
        <v>2018</v>
      </c>
      <c r="G1256" s="3" t="str">
        <f t="shared" si="115"/>
        <v>Apr</v>
      </c>
      <c r="H1256" s="3" t="str">
        <f t="shared" si="116"/>
        <v>Q2</v>
      </c>
      <c r="I1256" s="3">
        <f t="shared" si="117"/>
        <v>5.4844565653263099E-5</v>
      </c>
      <c r="J1256" s="3">
        <f t="shared" si="118"/>
        <v>4.603532657628643E-2</v>
      </c>
      <c r="K1256" s="3" t="str">
        <f t="shared" si="119"/>
        <v>Normal</v>
      </c>
      <c r="L1256" s="4">
        <f>VALUE(A1256)</f>
        <v>43214</v>
      </c>
    </row>
    <row r="1257" spans="1:12">
      <c r="A1257" s="5">
        <v>43215</v>
      </c>
      <c r="B1257" s="3">
        <v>1460.170044</v>
      </c>
      <c r="C1257" s="3">
        <v>231.48387099999999</v>
      </c>
      <c r="D1257" s="3">
        <v>9282.1201170000004</v>
      </c>
      <c r="E1257" s="3">
        <v>305.76001000000002</v>
      </c>
      <c r="F1257" s="3">
        <f t="shared" si="114"/>
        <v>2018</v>
      </c>
      <c r="G1257" s="3" t="str">
        <f t="shared" si="115"/>
        <v>Apr</v>
      </c>
      <c r="H1257" s="3" t="str">
        <f t="shared" si="116"/>
        <v>Q2</v>
      </c>
      <c r="I1257" s="3">
        <f t="shared" si="117"/>
        <v>3.95775253967613E-2</v>
      </c>
      <c r="J1257" s="3">
        <f t="shared" si="118"/>
        <v>-3.7022833756547982E-2</v>
      </c>
      <c r="K1257" s="3" t="str">
        <f t="shared" si="119"/>
        <v>Normal</v>
      </c>
      <c r="L1257" s="4">
        <f>VALUE(A1257)</f>
        <v>43215</v>
      </c>
    </row>
    <row r="1258" spans="1:12">
      <c r="A1258" s="5">
        <v>43216</v>
      </c>
      <c r="B1258" s="3">
        <v>1517.959961</v>
      </c>
      <c r="C1258" s="3">
        <v>248.41424599999999</v>
      </c>
      <c r="D1258" s="3">
        <v>8938.4697269999997</v>
      </c>
      <c r="E1258" s="3">
        <v>313.98001099999999</v>
      </c>
      <c r="F1258" s="3">
        <f t="shared" si="114"/>
        <v>2018</v>
      </c>
      <c r="G1258" s="3" t="str">
        <f t="shared" si="115"/>
        <v>Apr</v>
      </c>
      <c r="H1258" s="3" t="str">
        <f t="shared" si="116"/>
        <v>Q2</v>
      </c>
      <c r="I1258" s="3">
        <f t="shared" si="117"/>
        <v>3.6008877311883195E-2</v>
      </c>
      <c r="J1258" s="3">
        <f t="shared" si="118"/>
        <v>4.6204776948840696E-2</v>
      </c>
      <c r="K1258" s="3" t="str">
        <f t="shared" si="119"/>
        <v>Normal</v>
      </c>
      <c r="L1258" s="4">
        <f>VALUE(A1258)</f>
        <v>43216</v>
      </c>
    </row>
    <row r="1259" spans="1:12">
      <c r="A1259" s="5">
        <v>43217</v>
      </c>
      <c r="B1259" s="3">
        <v>1572.619995</v>
      </c>
      <c r="C1259" s="3">
        <v>246.24340799999999</v>
      </c>
      <c r="D1259" s="3">
        <v>9351.4697269999997</v>
      </c>
      <c r="E1259" s="3">
        <v>311.76001000000002</v>
      </c>
      <c r="F1259" s="3">
        <f t="shared" si="114"/>
        <v>2018</v>
      </c>
      <c r="G1259" s="3" t="str">
        <f t="shared" si="115"/>
        <v>Apr</v>
      </c>
      <c r="H1259" s="3" t="str">
        <f t="shared" si="116"/>
        <v>Q2</v>
      </c>
      <c r="I1259" s="3">
        <f t="shared" si="117"/>
        <v>-4.1268647356858985E-3</v>
      </c>
      <c r="J1259" s="3">
        <f t="shared" si="118"/>
        <v>-2.93204664084349E-2</v>
      </c>
      <c r="K1259" s="3" t="str">
        <f t="shared" si="119"/>
        <v>Normal</v>
      </c>
      <c r="L1259" s="4">
        <f>VALUE(A1259)</f>
        <v>43217</v>
      </c>
    </row>
    <row r="1260" spans="1:12">
      <c r="A1260" s="5">
        <v>43220</v>
      </c>
      <c r="B1260" s="3">
        <v>1566.130005</v>
      </c>
      <c r="C1260" s="3">
        <v>239.61199999999999</v>
      </c>
      <c r="D1260" s="3">
        <v>9077.2802730000003</v>
      </c>
      <c r="E1260" s="3">
        <v>312.459991</v>
      </c>
      <c r="F1260" s="3">
        <f t="shared" si="114"/>
        <v>2018</v>
      </c>
      <c r="G1260" s="3" t="str">
        <f t="shared" si="115"/>
        <v>Apr</v>
      </c>
      <c r="H1260" s="3" t="str">
        <f t="shared" si="116"/>
        <v>Q2</v>
      </c>
      <c r="I1260" s="3">
        <f t="shared" si="117"/>
        <v>1.0299275889296293E-2</v>
      </c>
      <c r="J1260" s="3">
        <f t="shared" si="118"/>
        <v>1.7065701657441843E-2</v>
      </c>
      <c r="K1260" s="3" t="str">
        <f t="shared" si="119"/>
        <v>Normal</v>
      </c>
      <c r="L1260" s="4">
        <f>VALUE(A1260)</f>
        <v>43220</v>
      </c>
    </row>
    <row r="1261" spans="1:12">
      <c r="A1261" s="5">
        <v>43221</v>
      </c>
      <c r="B1261" s="3">
        <v>1582.26001</v>
      </c>
      <c r="C1261" s="3">
        <v>245.50988799999999</v>
      </c>
      <c r="D1261" s="3">
        <v>9232.1904300000006</v>
      </c>
      <c r="E1261" s="3">
        <v>313.29998799999998</v>
      </c>
      <c r="F1261" s="3">
        <f t="shared" si="114"/>
        <v>2018</v>
      </c>
      <c r="G1261" s="3" t="str">
        <f t="shared" si="115"/>
        <v>May</v>
      </c>
      <c r="H1261" s="3" t="str">
        <f t="shared" si="116"/>
        <v>Q2</v>
      </c>
      <c r="I1261" s="3">
        <f t="shared" si="117"/>
        <v>-7.9506250050521334E-3</v>
      </c>
      <c r="J1261" s="3">
        <f t="shared" si="118"/>
        <v>5.5550154959271021E-2</v>
      </c>
      <c r="K1261" s="3" t="str">
        <f t="shared" si="119"/>
        <v>High Volatility</v>
      </c>
      <c r="L1261" s="4">
        <f>VALUE(A1261)</f>
        <v>43221</v>
      </c>
    </row>
    <row r="1262" spans="1:12">
      <c r="A1262" s="5">
        <v>43222</v>
      </c>
      <c r="B1262" s="3">
        <v>1569.6800539999999</v>
      </c>
      <c r="C1262" s="3">
        <v>242.13969399999999</v>
      </c>
      <c r="D1262" s="3">
        <v>9745.0400389999995</v>
      </c>
      <c r="E1262" s="3">
        <v>313.35998499999999</v>
      </c>
      <c r="F1262" s="3">
        <f t="shared" si="114"/>
        <v>2018</v>
      </c>
      <c r="G1262" s="3" t="str">
        <f t="shared" si="115"/>
        <v>May</v>
      </c>
      <c r="H1262" s="3" t="str">
        <f t="shared" si="116"/>
        <v>Q2</v>
      </c>
      <c r="I1262" s="3">
        <f t="shared" si="117"/>
        <v>1.5289115727020069E-3</v>
      </c>
      <c r="J1262" s="3">
        <f t="shared" si="118"/>
        <v>-4.6618266131476724E-3</v>
      </c>
      <c r="K1262" s="3" t="str">
        <f t="shared" si="119"/>
        <v>Normal</v>
      </c>
      <c r="L1262" s="4">
        <f>VALUE(A1262)</f>
        <v>43222</v>
      </c>
    </row>
    <row r="1263" spans="1:12">
      <c r="A1263" s="5">
        <v>43223</v>
      </c>
      <c r="B1263" s="3">
        <v>1572.079956</v>
      </c>
      <c r="C1263" s="3">
        <v>243.676117</v>
      </c>
      <c r="D1263" s="3">
        <v>9699.6103519999997</v>
      </c>
      <c r="E1263" s="3">
        <v>311.69000199999999</v>
      </c>
      <c r="F1263" s="3">
        <f t="shared" si="114"/>
        <v>2018</v>
      </c>
      <c r="G1263" s="3" t="str">
        <f t="shared" si="115"/>
        <v>May</v>
      </c>
      <c r="H1263" s="3" t="str">
        <f t="shared" si="116"/>
        <v>Q2</v>
      </c>
      <c r="I1263" s="3">
        <f t="shared" si="117"/>
        <v>5.6422034809023519E-3</v>
      </c>
      <c r="J1263" s="3">
        <f t="shared" si="118"/>
        <v>1.5082053164108331E-2</v>
      </c>
      <c r="K1263" s="3" t="str">
        <f t="shared" si="119"/>
        <v>Normal</v>
      </c>
      <c r="L1263" s="4">
        <f>VALUE(A1263)</f>
        <v>43223</v>
      </c>
    </row>
    <row r="1264" spans="1:12">
      <c r="A1264" s="5">
        <v>43224</v>
      </c>
      <c r="B1264" s="3">
        <v>1580.9499510000001</v>
      </c>
      <c r="C1264" s="3">
        <v>246.06500199999999</v>
      </c>
      <c r="D1264" s="3">
        <v>9845.9003909999992</v>
      </c>
      <c r="E1264" s="3">
        <v>320.08999599999999</v>
      </c>
      <c r="F1264" s="3">
        <f t="shared" si="114"/>
        <v>2018</v>
      </c>
      <c r="G1264" s="3" t="str">
        <f t="shared" si="115"/>
        <v>May</v>
      </c>
      <c r="H1264" s="3" t="str">
        <f t="shared" si="116"/>
        <v>Q2</v>
      </c>
      <c r="I1264" s="3">
        <f t="shared" si="117"/>
        <v>1.2138312150780978E-2</v>
      </c>
      <c r="J1264" s="3">
        <f t="shared" si="118"/>
        <v>-6.5994016006290887E-2</v>
      </c>
      <c r="K1264" s="3" t="str">
        <f t="shared" si="119"/>
        <v>High Volatility</v>
      </c>
      <c r="L1264" s="4">
        <f>VALUE(A1264)</f>
        <v>43224</v>
      </c>
    </row>
    <row r="1265" spans="1:12">
      <c r="A1265" s="5">
        <v>43227</v>
      </c>
      <c r="B1265" s="3">
        <v>1600.1400149999999</v>
      </c>
      <c r="C1265" s="3">
        <v>248.30519100000001</v>
      </c>
      <c r="D1265" s="3">
        <v>9196.1298829999996</v>
      </c>
      <c r="E1265" s="3">
        <v>326.26001000000002</v>
      </c>
      <c r="F1265" s="3">
        <f t="shared" si="114"/>
        <v>2018</v>
      </c>
      <c r="G1265" s="3" t="str">
        <f t="shared" si="115"/>
        <v>May</v>
      </c>
      <c r="H1265" s="3" t="str">
        <f t="shared" si="116"/>
        <v>Q2</v>
      </c>
      <c r="I1265" s="3">
        <f t="shared" si="117"/>
        <v>-4.8433261635545061E-3</v>
      </c>
      <c r="J1265" s="3">
        <f t="shared" si="118"/>
        <v>1.3595966410949865E-2</v>
      </c>
      <c r="K1265" s="3" t="str">
        <f t="shared" si="119"/>
        <v>Normal</v>
      </c>
      <c r="L1265" s="4">
        <f>VALUE(A1265)</f>
        <v>43227</v>
      </c>
    </row>
    <row r="1266" spans="1:12">
      <c r="A1266" s="5">
        <v>43228</v>
      </c>
      <c r="B1266" s="3">
        <v>1592.3900149999999</v>
      </c>
      <c r="C1266" s="3">
        <v>248.21598800000001</v>
      </c>
      <c r="D1266" s="3">
        <v>9321.1601559999999</v>
      </c>
      <c r="E1266" s="3">
        <v>326.89001500000001</v>
      </c>
      <c r="F1266" s="3">
        <f t="shared" si="114"/>
        <v>2018</v>
      </c>
      <c r="G1266" s="3" t="str">
        <f t="shared" si="115"/>
        <v>May</v>
      </c>
      <c r="H1266" s="3" t="str">
        <f t="shared" si="116"/>
        <v>Q2</v>
      </c>
      <c r="I1266" s="3">
        <f t="shared" si="117"/>
        <v>9.8028654117126267E-3</v>
      </c>
      <c r="J1266" s="3">
        <f t="shared" si="118"/>
        <v>-3.0998333272281586E-2</v>
      </c>
      <c r="K1266" s="3" t="str">
        <f t="shared" si="119"/>
        <v>Normal</v>
      </c>
      <c r="L1266" s="4">
        <f>VALUE(A1266)</f>
        <v>43228</v>
      </c>
    </row>
    <row r="1267" spans="1:12">
      <c r="A1267" s="5">
        <v>43229</v>
      </c>
      <c r="B1267" s="3">
        <v>1608</v>
      </c>
      <c r="C1267" s="3">
        <v>247.72036700000001</v>
      </c>
      <c r="D1267" s="3">
        <v>9032.2197269999997</v>
      </c>
      <c r="E1267" s="3">
        <v>330.29998799999998</v>
      </c>
      <c r="F1267" s="3">
        <f t="shared" si="114"/>
        <v>2018</v>
      </c>
      <c r="G1267" s="3" t="str">
        <f t="shared" si="115"/>
        <v>May</v>
      </c>
      <c r="H1267" s="3" t="str">
        <f t="shared" si="116"/>
        <v>Q2</v>
      </c>
      <c r="I1267" s="3">
        <f t="shared" si="117"/>
        <v>6.7161442786072033E-4</v>
      </c>
      <c r="J1267" s="3">
        <f t="shared" si="118"/>
        <v>-6.7671042719751551E-2</v>
      </c>
      <c r="K1267" s="3" t="str">
        <f t="shared" si="119"/>
        <v>High Volatility</v>
      </c>
      <c r="L1267" s="4">
        <f>VALUE(A1267)</f>
        <v>43229</v>
      </c>
    </row>
    <row r="1268" spans="1:12">
      <c r="A1268" s="5">
        <v>43230</v>
      </c>
      <c r="B1268" s="3">
        <v>1609.079956</v>
      </c>
      <c r="C1268" s="3">
        <v>247.532028</v>
      </c>
      <c r="D1268" s="3">
        <v>8421</v>
      </c>
      <c r="E1268" s="3">
        <v>329.60000600000001</v>
      </c>
      <c r="F1268" s="3">
        <f t="shared" si="114"/>
        <v>2018</v>
      </c>
      <c r="G1268" s="3" t="str">
        <f t="shared" si="115"/>
        <v>May</v>
      </c>
      <c r="H1268" s="3" t="str">
        <f t="shared" si="116"/>
        <v>Q2</v>
      </c>
      <c r="I1268" s="3">
        <f t="shared" si="117"/>
        <v>-3.8344409033208055E-3</v>
      </c>
      <c r="J1268" s="3">
        <f t="shared" si="118"/>
        <v>7.7983519771997545E-3</v>
      </c>
      <c r="K1268" s="3" t="str">
        <f t="shared" si="119"/>
        <v>Normal</v>
      </c>
      <c r="L1268" s="4">
        <f>VALUE(A1268)</f>
        <v>43230</v>
      </c>
    </row>
    <row r="1269" spans="1:12">
      <c r="A1269" s="5">
        <v>43231</v>
      </c>
      <c r="B1269" s="3">
        <v>1602.910034</v>
      </c>
      <c r="C1269" s="3">
        <v>247.72036700000001</v>
      </c>
      <c r="D1269" s="3">
        <v>8486.6699219999991</v>
      </c>
      <c r="E1269" s="3">
        <v>326.459991</v>
      </c>
      <c r="F1269" s="3">
        <f t="shared" si="114"/>
        <v>2018</v>
      </c>
      <c r="G1269" s="3" t="str">
        <f t="shared" si="115"/>
        <v>May</v>
      </c>
      <c r="H1269" s="3" t="str">
        <f t="shared" si="116"/>
        <v>Q2</v>
      </c>
      <c r="I1269" s="3">
        <f t="shared" si="117"/>
        <v>-8.546923850624652E-4</v>
      </c>
      <c r="J1269" s="3">
        <f t="shared" si="118"/>
        <v>-7.6705775761632343E-4</v>
      </c>
      <c r="K1269" s="3" t="str">
        <f t="shared" si="119"/>
        <v>Normal</v>
      </c>
      <c r="L1269" s="4">
        <f>VALUE(A1269)</f>
        <v>43231</v>
      </c>
    </row>
    <row r="1270" spans="1:12">
      <c r="A1270" s="5">
        <v>43234</v>
      </c>
      <c r="B1270" s="3">
        <v>1601.540039</v>
      </c>
      <c r="C1270" s="3">
        <v>243.98339799999999</v>
      </c>
      <c r="D1270" s="3">
        <v>8480.1601559999999</v>
      </c>
      <c r="E1270" s="3">
        <v>328.52999899999998</v>
      </c>
      <c r="F1270" s="3">
        <f t="shared" si="114"/>
        <v>2018</v>
      </c>
      <c r="G1270" s="3" t="str">
        <f t="shared" si="115"/>
        <v>May</v>
      </c>
      <c r="H1270" s="3" t="str">
        <f t="shared" si="116"/>
        <v>Q2</v>
      </c>
      <c r="I1270" s="3">
        <f t="shared" si="117"/>
        <v>-1.5872250072419176E-2</v>
      </c>
      <c r="J1270" s="3">
        <f t="shared" si="118"/>
        <v>-1.5964307337310576E-2</v>
      </c>
      <c r="K1270" s="3" t="str">
        <f t="shared" si="119"/>
        <v>Normal</v>
      </c>
      <c r="L1270" s="4">
        <f>VALUE(A1270)</f>
        <v>43234</v>
      </c>
    </row>
    <row r="1271" spans="1:12">
      <c r="A1271" s="5">
        <v>43235</v>
      </c>
      <c r="B1271" s="3">
        <v>1576.119995</v>
      </c>
      <c r="C1271" s="3">
        <v>244.93498199999999</v>
      </c>
      <c r="D1271" s="3">
        <v>8344.7802730000003</v>
      </c>
      <c r="E1271" s="3">
        <v>326.13000499999998</v>
      </c>
      <c r="F1271" s="3">
        <f t="shared" si="114"/>
        <v>2018</v>
      </c>
      <c r="G1271" s="3" t="str">
        <f t="shared" si="115"/>
        <v>May</v>
      </c>
      <c r="H1271" s="3" t="str">
        <f t="shared" si="116"/>
        <v>Q2</v>
      </c>
      <c r="I1271" s="3">
        <f t="shared" si="117"/>
        <v>7.0807007305303529E-3</v>
      </c>
      <c r="J1271" s="3">
        <f t="shared" si="118"/>
        <v>-3.2803767749967197E-2</v>
      </c>
      <c r="K1271" s="3" t="str">
        <f t="shared" si="119"/>
        <v>Normal</v>
      </c>
      <c r="L1271" s="4">
        <f>VALUE(A1271)</f>
        <v>43235</v>
      </c>
    </row>
    <row r="1272" spans="1:12">
      <c r="A1272" s="5">
        <v>43236</v>
      </c>
      <c r="B1272" s="3">
        <v>1587.280029</v>
      </c>
      <c r="C1272" s="3">
        <v>245.172867</v>
      </c>
      <c r="D1272" s="3">
        <v>8071.0400390000004</v>
      </c>
      <c r="E1272" s="3">
        <v>328.19000199999999</v>
      </c>
      <c r="F1272" s="3">
        <f t="shared" si="114"/>
        <v>2018</v>
      </c>
      <c r="G1272" s="3" t="str">
        <f t="shared" si="115"/>
        <v>May</v>
      </c>
      <c r="H1272" s="3" t="str">
        <f t="shared" si="116"/>
        <v>Q2</v>
      </c>
      <c r="I1272" s="3">
        <f t="shared" si="117"/>
        <v>-3.4776592026283522E-3</v>
      </c>
      <c r="J1272" s="3">
        <f t="shared" si="118"/>
        <v>2.191416671771506E-2</v>
      </c>
      <c r="K1272" s="3" t="str">
        <f t="shared" si="119"/>
        <v>Normal</v>
      </c>
      <c r="L1272" s="4">
        <f>VALUE(A1272)</f>
        <v>43236</v>
      </c>
    </row>
    <row r="1273" spans="1:12">
      <c r="A1273" s="5">
        <v>43237</v>
      </c>
      <c r="B1273" s="3">
        <v>1581.76001</v>
      </c>
      <c r="C1273" s="3">
        <v>244.38980100000001</v>
      </c>
      <c r="D1273" s="3">
        <v>8247.9101559999999</v>
      </c>
      <c r="E1273" s="3">
        <v>325.22000100000002</v>
      </c>
      <c r="F1273" s="3">
        <f t="shared" si="114"/>
        <v>2018</v>
      </c>
      <c r="G1273" s="3" t="str">
        <f t="shared" si="115"/>
        <v>May</v>
      </c>
      <c r="H1273" s="3" t="str">
        <f t="shared" si="116"/>
        <v>Q2</v>
      </c>
      <c r="I1273" s="3">
        <f t="shared" si="117"/>
        <v>-4.6720203781102981E-3</v>
      </c>
      <c r="J1273" s="3">
        <f t="shared" si="118"/>
        <v>1.6126242585623858E-4</v>
      </c>
      <c r="K1273" s="3" t="str">
        <f t="shared" si="119"/>
        <v>Normal</v>
      </c>
      <c r="L1273" s="4">
        <f>VALUE(A1273)</f>
        <v>43237</v>
      </c>
    </row>
    <row r="1274" spans="1:12">
      <c r="A1274" s="5">
        <v>43238</v>
      </c>
      <c r="B1274" s="3">
        <v>1574.369995</v>
      </c>
      <c r="C1274" s="3">
        <v>242.71461500000001</v>
      </c>
      <c r="D1274" s="3">
        <v>8249.2402340000008</v>
      </c>
      <c r="E1274" s="3">
        <v>324.17999300000002</v>
      </c>
      <c r="F1274" s="3">
        <f t="shared" si="114"/>
        <v>2018</v>
      </c>
      <c r="G1274" s="3" t="str">
        <f t="shared" si="115"/>
        <v>May</v>
      </c>
      <c r="H1274" s="3" t="str">
        <f t="shared" si="116"/>
        <v>Q2</v>
      </c>
      <c r="I1274" s="3">
        <f t="shared" si="117"/>
        <v>7.0440659026914472E-3</v>
      </c>
      <c r="J1274" s="3">
        <f t="shared" si="118"/>
        <v>-3.1092588738397112E-2</v>
      </c>
      <c r="K1274" s="3" t="str">
        <f t="shared" si="119"/>
        <v>Normal</v>
      </c>
      <c r="L1274" s="4">
        <f>VALUE(A1274)</f>
        <v>43238</v>
      </c>
    </row>
    <row r="1275" spans="1:12">
      <c r="A1275" s="5">
        <v>43241</v>
      </c>
      <c r="B1275" s="3">
        <v>1585.459961</v>
      </c>
      <c r="C1275" s="3">
        <v>246.193848</v>
      </c>
      <c r="D1275" s="3">
        <v>7992.75</v>
      </c>
      <c r="E1275" s="3">
        <v>331.82000699999998</v>
      </c>
      <c r="F1275" s="3">
        <f t="shared" si="114"/>
        <v>2018</v>
      </c>
      <c r="G1275" s="3" t="str">
        <f t="shared" si="115"/>
        <v>May</v>
      </c>
      <c r="H1275" s="3" t="str">
        <f t="shared" si="116"/>
        <v>Q2</v>
      </c>
      <c r="I1275" s="3">
        <f t="shared" si="117"/>
        <v>-2.5607313334101854E-3</v>
      </c>
      <c r="J1275" s="3">
        <f t="shared" si="118"/>
        <v>-6.0927713240123874E-2</v>
      </c>
      <c r="K1275" s="3" t="str">
        <f t="shared" si="119"/>
        <v>High Volatility</v>
      </c>
      <c r="L1275" s="4">
        <f>VALUE(A1275)</f>
        <v>43241</v>
      </c>
    </row>
    <row r="1276" spans="1:12">
      <c r="A1276" s="5">
        <v>43242</v>
      </c>
      <c r="B1276" s="3">
        <v>1581.400024</v>
      </c>
      <c r="C1276" s="3">
        <v>246.035248</v>
      </c>
      <c r="D1276" s="3">
        <v>7505.7700199999999</v>
      </c>
      <c r="E1276" s="3">
        <v>331.61999500000002</v>
      </c>
      <c r="F1276" s="3">
        <f t="shared" si="114"/>
        <v>2018</v>
      </c>
      <c r="G1276" s="3" t="str">
        <f t="shared" si="115"/>
        <v>May</v>
      </c>
      <c r="H1276" s="3" t="str">
        <f t="shared" si="116"/>
        <v>Q2</v>
      </c>
      <c r="I1276" s="3">
        <f t="shared" si="117"/>
        <v>1.2937878265771433E-2</v>
      </c>
      <c r="J1276" s="3">
        <f t="shared" si="118"/>
        <v>1.0521267476831103E-2</v>
      </c>
      <c r="K1276" s="3" t="str">
        <f t="shared" si="119"/>
        <v>Normal</v>
      </c>
      <c r="L1276" s="4">
        <f>VALUE(A1276)</f>
        <v>43242</v>
      </c>
    </row>
    <row r="1277" spans="1:12">
      <c r="A1277" s="5">
        <v>43243</v>
      </c>
      <c r="B1277" s="3">
        <v>1601.8599850000001</v>
      </c>
      <c r="C1277" s="3">
        <v>247.304047</v>
      </c>
      <c r="D1277" s="3">
        <v>7584.7402339999999</v>
      </c>
      <c r="E1277" s="3">
        <v>344.72000100000002</v>
      </c>
      <c r="F1277" s="3">
        <f t="shared" si="114"/>
        <v>2018</v>
      </c>
      <c r="G1277" s="3" t="str">
        <f t="shared" si="115"/>
        <v>May</v>
      </c>
      <c r="H1277" s="3" t="str">
        <f t="shared" si="116"/>
        <v>Q2</v>
      </c>
      <c r="I1277" s="3">
        <f t="shared" si="117"/>
        <v>7.5534754056548904E-4</v>
      </c>
      <c r="J1277" s="3">
        <f t="shared" si="118"/>
        <v>-1.4421109705205522E-2</v>
      </c>
      <c r="K1277" s="3" t="str">
        <f t="shared" si="119"/>
        <v>Normal</v>
      </c>
      <c r="L1277" s="4">
        <f>VALUE(A1277)</f>
        <v>43243</v>
      </c>
    </row>
    <row r="1278" spans="1:12">
      <c r="A1278" s="5">
        <v>43244</v>
      </c>
      <c r="B1278" s="3">
        <v>1603.0699460000001</v>
      </c>
      <c r="C1278" s="3">
        <v>250.02993799999999</v>
      </c>
      <c r="D1278" s="3">
        <v>7475.3598629999997</v>
      </c>
      <c r="E1278" s="3">
        <v>349.290009</v>
      </c>
      <c r="F1278" s="3">
        <f t="shared" si="114"/>
        <v>2018</v>
      </c>
      <c r="G1278" s="3" t="str">
        <f t="shared" si="115"/>
        <v>May</v>
      </c>
      <c r="H1278" s="3" t="str">
        <f t="shared" si="116"/>
        <v>Q2</v>
      </c>
      <c r="I1278" s="3">
        <f t="shared" si="117"/>
        <v>4.4165745965522316E-3</v>
      </c>
      <c r="J1278" s="3">
        <f t="shared" si="118"/>
        <v>-1.6092844519156137E-2</v>
      </c>
      <c r="K1278" s="3" t="str">
        <f t="shared" si="119"/>
        <v>Normal</v>
      </c>
      <c r="L1278" s="4">
        <f>VALUE(A1278)</f>
        <v>43244</v>
      </c>
    </row>
    <row r="1279" spans="1:12">
      <c r="A1279" s="5">
        <v>43245</v>
      </c>
      <c r="B1279" s="3">
        <v>1610.150024</v>
      </c>
      <c r="C1279" s="3">
        <v>248.146591</v>
      </c>
      <c r="D1279" s="3">
        <v>7355.0600590000004</v>
      </c>
      <c r="E1279" s="3">
        <v>351.290009</v>
      </c>
      <c r="F1279" s="3">
        <f t="shared" si="114"/>
        <v>2018</v>
      </c>
      <c r="G1279" s="3" t="str">
        <f t="shared" si="115"/>
        <v>May</v>
      </c>
      <c r="H1279" s="3" t="str">
        <f t="shared" si="116"/>
        <v>Q2</v>
      </c>
      <c r="I1279" s="3">
        <f t="shared" si="117"/>
        <v>1.6892655711937478E-3</v>
      </c>
      <c r="J1279" s="3">
        <f t="shared" si="118"/>
        <v>5.161067441393624E-3</v>
      </c>
      <c r="K1279" s="3" t="str">
        <f t="shared" si="119"/>
        <v>Normal</v>
      </c>
      <c r="L1279" s="4">
        <f>VALUE(A1279)</f>
        <v>43245</v>
      </c>
    </row>
    <row r="1280" spans="1:12">
      <c r="A1280" s="5">
        <v>43249</v>
      </c>
      <c r="B1280" s="3">
        <v>1612.869995</v>
      </c>
      <c r="C1280" s="3">
        <v>243.64639299999999</v>
      </c>
      <c r="D1280" s="3">
        <v>7393.0200199999999</v>
      </c>
      <c r="E1280" s="3">
        <v>349.73001099999999</v>
      </c>
      <c r="F1280" s="3">
        <f t="shared" si="114"/>
        <v>2018</v>
      </c>
      <c r="G1280" s="3" t="str">
        <f t="shared" si="115"/>
        <v>May</v>
      </c>
      <c r="H1280" s="3" t="str">
        <f t="shared" si="116"/>
        <v>Q2</v>
      </c>
      <c r="I1280" s="3">
        <f t="shared" si="117"/>
        <v>7.4525659459613982E-3</v>
      </c>
      <c r="J1280" s="3">
        <f t="shared" si="118"/>
        <v>1.4761204718068676E-2</v>
      </c>
      <c r="K1280" s="3" t="str">
        <f t="shared" si="119"/>
        <v>Normal</v>
      </c>
      <c r="L1280" s="4">
        <f>VALUE(A1280)</f>
        <v>43249</v>
      </c>
    </row>
    <row r="1281" spans="1:12">
      <c r="A1281" s="5">
        <v>43250</v>
      </c>
      <c r="B1281" s="3">
        <v>1624.8900149999999</v>
      </c>
      <c r="C1281" s="3">
        <v>249.494675</v>
      </c>
      <c r="D1281" s="3">
        <v>7502.1499020000001</v>
      </c>
      <c r="E1281" s="3">
        <v>353.540009</v>
      </c>
      <c r="F1281" s="3">
        <f t="shared" si="114"/>
        <v>2018</v>
      </c>
      <c r="G1281" s="3" t="str">
        <f t="shared" si="115"/>
        <v>May</v>
      </c>
      <c r="H1281" s="3" t="str">
        <f t="shared" si="116"/>
        <v>Q2</v>
      </c>
      <c r="I1281" s="3">
        <f t="shared" si="117"/>
        <v>2.9109539453967713E-3</v>
      </c>
      <c r="J1281" s="3">
        <f t="shared" si="118"/>
        <v>3.7855685864699134E-3</v>
      </c>
      <c r="K1281" s="3" t="str">
        <f t="shared" si="119"/>
        <v>Normal</v>
      </c>
      <c r="L1281" s="4">
        <f>VALUE(A1281)</f>
        <v>43250</v>
      </c>
    </row>
    <row r="1282" spans="1:12">
      <c r="A1282" s="5">
        <v>43251</v>
      </c>
      <c r="B1282" s="3">
        <v>1629.619995</v>
      </c>
      <c r="C1282" s="3">
        <v>249.27659600000001</v>
      </c>
      <c r="D1282" s="3">
        <v>7530.5498049999997</v>
      </c>
      <c r="E1282" s="3">
        <v>351.60000600000001</v>
      </c>
      <c r="F1282" s="3">
        <f t="shared" si="114"/>
        <v>2018</v>
      </c>
      <c r="G1282" s="3" t="str">
        <f t="shared" si="115"/>
        <v>May</v>
      </c>
      <c r="H1282" s="3" t="str">
        <f t="shared" si="116"/>
        <v>Q2</v>
      </c>
      <c r="I1282" s="3">
        <f t="shared" si="117"/>
        <v>7.3146156997171367E-3</v>
      </c>
      <c r="J1282" s="3">
        <f t="shared" si="118"/>
        <v>1.4967029489024206E-2</v>
      </c>
      <c r="K1282" s="3" t="str">
        <f t="shared" si="119"/>
        <v>Normal</v>
      </c>
      <c r="L1282" s="4">
        <f>VALUE(A1282)</f>
        <v>43251</v>
      </c>
    </row>
    <row r="1283" spans="1:12">
      <c r="A1283" s="5">
        <v>43252</v>
      </c>
      <c r="B1283" s="3">
        <v>1641.540039</v>
      </c>
      <c r="C1283" s="3">
        <v>250.634613</v>
      </c>
      <c r="D1283" s="3">
        <v>7643.2597660000001</v>
      </c>
      <c r="E1283" s="3">
        <v>359.92999300000002</v>
      </c>
      <c r="F1283" s="3">
        <f t="shared" ref="F1283:F1346" si="120">YEAR(A1283)</f>
        <v>2018</v>
      </c>
      <c r="G1283" s="3" t="str">
        <f t="shared" ref="G1283:G1346" si="121">TEXT(A1283,"MMM")</f>
        <v>Jun</v>
      </c>
      <c r="H1283" s="3" t="str">
        <f t="shared" ref="H1283:H1346" si="122">"Q"&amp;ROUNDUP(MONTH(A1283)/3,0)</f>
        <v>Q2</v>
      </c>
      <c r="I1283" s="3">
        <f t="shared" ref="I1283:I1346" si="123">(B1284-B1283)/B1283</f>
        <v>1.4455925799078211E-2</v>
      </c>
      <c r="J1283" s="3">
        <f t="shared" ref="J1283:J1346" si="124">(D1284-D1283)/D1283</f>
        <v>-1.8133446231480622E-3</v>
      </c>
      <c r="K1283" s="3" t="str">
        <f t="shared" ref="K1283:K1346" si="125">IF(J1283="","",IF(ABS(J1283)&gt;0.05,"High Volatility","Normal"))</f>
        <v>Normal</v>
      </c>
      <c r="L1283" s="4">
        <f>VALUE(A1283)</f>
        <v>43252</v>
      </c>
    </row>
    <row r="1284" spans="1:12">
      <c r="A1284" s="5">
        <v>43255</v>
      </c>
      <c r="B1284" s="3">
        <v>1665.2700199999999</v>
      </c>
      <c r="C1284" s="3">
        <v>253.152344</v>
      </c>
      <c r="D1284" s="3">
        <v>7629.3999020000001</v>
      </c>
      <c r="E1284" s="3">
        <v>361.80999800000001</v>
      </c>
      <c r="F1284" s="3">
        <f t="shared" si="120"/>
        <v>2018</v>
      </c>
      <c r="G1284" s="3" t="str">
        <f t="shared" si="121"/>
        <v>Jun</v>
      </c>
      <c r="H1284" s="3" t="str">
        <f t="shared" si="122"/>
        <v>Q2</v>
      </c>
      <c r="I1284" s="3">
        <f t="shared" si="123"/>
        <v>1.8663613484136369E-2</v>
      </c>
      <c r="J1284" s="3">
        <f t="shared" si="124"/>
        <v>4.2454370482676428E-3</v>
      </c>
      <c r="K1284" s="3" t="str">
        <f t="shared" si="125"/>
        <v>Normal</v>
      </c>
      <c r="L1284" s="4">
        <f>VALUE(A1284)</f>
        <v>43255</v>
      </c>
    </row>
    <row r="1285" spans="1:12">
      <c r="A1285" s="5">
        <v>43256</v>
      </c>
      <c r="B1285" s="3">
        <v>1696.349976</v>
      </c>
      <c r="C1285" s="3">
        <v>260.32891799999999</v>
      </c>
      <c r="D1285" s="3">
        <v>7661.7900390000004</v>
      </c>
      <c r="E1285" s="3">
        <v>365.79998799999998</v>
      </c>
      <c r="F1285" s="3">
        <f t="shared" si="120"/>
        <v>2018</v>
      </c>
      <c r="G1285" s="3" t="str">
        <f t="shared" si="121"/>
        <v>Jun</v>
      </c>
      <c r="H1285" s="3" t="str">
        <f t="shared" si="122"/>
        <v>Q2</v>
      </c>
      <c r="I1285" s="3">
        <f t="shared" si="123"/>
        <v>-3.5368644942874078E-4</v>
      </c>
      <c r="J1285" s="3">
        <f t="shared" si="124"/>
        <v>5.001419225134582E-3</v>
      </c>
      <c r="K1285" s="3" t="str">
        <f t="shared" si="125"/>
        <v>Normal</v>
      </c>
      <c r="L1285" s="4">
        <f>VALUE(A1285)</f>
        <v>43256</v>
      </c>
    </row>
    <row r="1286" spans="1:12">
      <c r="A1286" s="5">
        <v>43257</v>
      </c>
      <c r="B1286" s="3">
        <v>1695.75</v>
      </c>
      <c r="C1286" s="3">
        <v>267.26760899999999</v>
      </c>
      <c r="D1286" s="3">
        <v>7700.1098629999997</v>
      </c>
      <c r="E1286" s="3">
        <v>367.45001200000002</v>
      </c>
      <c r="F1286" s="3">
        <f t="shared" si="120"/>
        <v>2018</v>
      </c>
      <c r="G1286" s="3" t="str">
        <f t="shared" si="121"/>
        <v>Jun</v>
      </c>
      <c r="H1286" s="3" t="str">
        <f t="shared" si="122"/>
        <v>Q2</v>
      </c>
      <c r="I1286" s="3">
        <f t="shared" si="123"/>
        <v>-3.8035978180746312E-3</v>
      </c>
      <c r="J1286" s="3">
        <f t="shared" si="124"/>
        <v>-9.4271178322796554E-3</v>
      </c>
      <c r="K1286" s="3" t="str">
        <f t="shared" si="125"/>
        <v>Normal</v>
      </c>
      <c r="L1286" s="4">
        <f>VALUE(A1286)</f>
        <v>43257</v>
      </c>
    </row>
    <row r="1287" spans="1:12">
      <c r="A1287" s="5">
        <v>43258</v>
      </c>
      <c r="B1287" s="3">
        <v>1689.3000489999999</v>
      </c>
      <c r="C1287" s="3">
        <v>269.65649400000001</v>
      </c>
      <c r="D1287" s="3">
        <v>7627.5200199999999</v>
      </c>
      <c r="E1287" s="3">
        <v>361.39999399999999</v>
      </c>
      <c r="F1287" s="3">
        <f t="shared" si="120"/>
        <v>2018</v>
      </c>
      <c r="G1287" s="3" t="str">
        <f t="shared" si="121"/>
        <v>Jun</v>
      </c>
      <c r="H1287" s="3" t="str">
        <f t="shared" si="122"/>
        <v>Q2</v>
      </c>
      <c r="I1287" s="3">
        <f t="shared" si="123"/>
        <v>-3.1433486331473551E-3</v>
      </c>
      <c r="J1287" s="3">
        <f t="shared" si="124"/>
        <v>-1.4923602783280573E-2</v>
      </c>
      <c r="K1287" s="3" t="str">
        <f t="shared" si="125"/>
        <v>Normal</v>
      </c>
      <c r="L1287" s="4">
        <f>VALUE(A1287)</f>
        <v>43258</v>
      </c>
    </row>
    <row r="1288" spans="1:12">
      <c r="A1288" s="5">
        <v>43259</v>
      </c>
      <c r="B1288" s="3">
        <v>1683.98999</v>
      </c>
      <c r="C1288" s="3">
        <v>267.67398100000003</v>
      </c>
      <c r="D1288" s="3">
        <v>7513.6899409999996</v>
      </c>
      <c r="E1288" s="3">
        <v>360.57000699999998</v>
      </c>
      <c r="F1288" s="3">
        <f t="shared" si="120"/>
        <v>2018</v>
      </c>
      <c r="G1288" s="3" t="str">
        <f t="shared" si="121"/>
        <v>Jun</v>
      </c>
      <c r="H1288" s="3" t="str">
        <f t="shared" si="122"/>
        <v>Q2</v>
      </c>
      <c r="I1288" s="3">
        <f t="shared" si="123"/>
        <v>3.0463393668984829E-3</v>
      </c>
      <c r="J1288" s="3">
        <f t="shared" si="124"/>
        <v>-0.12733424023518675</v>
      </c>
      <c r="K1288" s="3" t="str">
        <f t="shared" si="125"/>
        <v>High Volatility</v>
      </c>
      <c r="L1288" s="4">
        <f>VALUE(A1288)</f>
        <v>43259</v>
      </c>
    </row>
    <row r="1289" spans="1:12">
      <c r="A1289" s="5">
        <v>43262</v>
      </c>
      <c r="B1289" s="3">
        <v>1689.119995</v>
      </c>
      <c r="C1289" s="3">
        <v>267.406342</v>
      </c>
      <c r="D1289" s="3">
        <v>6556.9399409999996</v>
      </c>
      <c r="E1289" s="3">
        <v>361.45001200000002</v>
      </c>
      <c r="F1289" s="3">
        <f t="shared" si="120"/>
        <v>2018</v>
      </c>
      <c r="G1289" s="3" t="str">
        <f t="shared" si="121"/>
        <v>Jun</v>
      </c>
      <c r="H1289" s="3" t="str">
        <f t="shared" si="122"/>
        <v>Q2</v>
      </c>
      <c r="I1289" s="3">
        <f t="shared" si="123"/>
        <v>5.701196497884085E-3</v>
      </c>
      <c r="J1289" s="3">
        <f t="shared" si="124"/>
        <v>-3.7595245223857356E-2</v>
      </c>
      <c r="K1289" s="3" t="str">
        <f t="shared" si="125"/>
        <v>Normal</v>
      </c>
      <c r="L1289" s="4">
        <f>VALUE(A1289)</f>
        <v>43262</v>
      </c>
    </row>
    <row r="1290" spans="1:12">
      <c r="A1290" s="5">
        <v>43263</v>
      </c>
      <c r="B1290" s="3">
        <v>1698.75</v>
      </c>
      <c r="C1290" s="3">
        <v>270.80633499999999</v>
      </c>
      <c r="D1290" s="3">
        <v>6310.4301759999998</v>
      </c>
      <c r="E1290" s="3">
        <v>363.82998700000002</v>
      </c>
      <c r="F1290" s="3">
        <f t="shared" si="120"/>
        <v>2018</v>
      </c>
      <c r="G1290" s="3" t="str">
        <f t="shared" si="121"/>
        <v>Jun</v>
      </c>
      <c r="H1290" s="3" t="str">
        <f t="shared" si="122"/>
        <v>Q2</v>
      </c>
      <c r="I1290" s="3">
        <f t="shared" si="123"/>
        <v>3.5967534952171015E-3</v>
      </c>
      <c r="J1290" s="3">
        <f t="shared" si="124"/>
        <v>5.2742773585519868E-2</v>
      </c>
      <c r="K1290" s="3" t="str">
        <f t="shared" si="125"/>
        <v>High Volatility</v>
      </c>
      <c r="L1290" s="4">
        <f>VALUE(A1290)</f>
        <v>43263</v>
      </c>
    </row>
    <row r="1291" spans="1:12">
      <c r="A1291" s="5">
        <v>43264</v>
      </c>
      <c r="B1291" s="3">
        <v>1704.8599850000001</v>
      </c>
      <c r="C1291" s="3">
        <v>271.182953</v>
      </c>
      <c r="D1291" s="3">
        <v>6643.2597660000001</v>
      </c>
      <c r="E1291" s="3">
        <v>379.92999300000002</v>
      </c>
      <c r="F1291" s="3">
        <f t="shared" si="120"/>
        <v>2018</v>
      </c>
      <c r="G1291" s="3" t="str">
        <f t="shared" si="121"/>
        <v>Jun</v>
      </c>
      <c r="H1291" s="3" t="str">
        <f t="shared" si="122"/>
        <v>Q2</v>
      </c>
      <c r="I1291" s="3">
        <f t="shared" si="123"/>
        <v>1.1144610212667992E-2</v>
      </c>
      <c r="J1291" s="3">
        <f t="shared" si="124"/>
        <v>-3.7112775005703508E-2</v>
      </c>
      <c r="K1291" s="3" t="str">
        <f t="shared" si="125"/>
        <v>Normal</v>
      </c>
      <c r="L1291" s="4">
        <f>VALUE(A1291)</f>
        <v>43264</v>
      </c>
    </row>
    <row r="1292" spans="1:12">
      <c r="A1292" s="5">
        <v>43265</v>
      </c>
      <c r="B1292" s="3">
        <v>1723.8599850000001</v>
      </c>
      <c r="C1292" s="3">
        <v>271.79879799999998</v>
      </c>
      <c r="D1292" s="3">
        <v>6396.7099609999996</v>
      </c>
      <c r="E1292" s="3">
        <v>392.86999500000002</v>
      </c>
      <c r="F1292" s="3">
        <f t="shared" si="120"/>
        <v>2018</v>
      </c>
      <c r="G1292" s="3" t="str">
        <f t="shared" si="121"/>
        <v>Jun</v>
      </c>
      <c r="H1292" s="3" t="str">
        <f t="shared" si="122"/>
        <v>Q2</v>
      </c>
      <c r="I1292" s="3">
        <f t="shared" si="123"/>
        <v>-4.5769459635087847E-3</v>
      </c>
      <c r="J1292" s="3">
        <f t="shared" si="124"/>
        <v>1.6632008899676344E-2</v>
      </c>
      <c r="K1292" s="3" t="str">
        <f t="shared" si="125"/>
        <v>Normal</v>
      </c>
      <c r="L1292" s="4">
        <f>VALUE(A1292)</f>
        <v>43265</v>
      </c>
    </row>
    <row r="1293" spans="1:12">
      <c r="A1293" s="5">
        <v>43266</v>
      </c>
      <c r="B1293" s="3">
        <v>1715.969971</v>
      </c>
      <c r="C1293" s="3">
        <v>275.46383700000001</v>
      </c>
      <c r="D1293" s="3">
        <v>6503.1000979999999</v>
      </c>
      <c r="E1293" s="3">
        <v>391.98001099999999</v>
      </c>
      <c r="F1293" s="3">
        <f t="shared" si="120"/>
        <v>2018</v>
      </c>
      <c r="G1293" s="3" t="str">
        <f t="shared" si="121"/>
        <v>Jun</v>
      </c>
      <c r="H1293" s="3" t="str">
        <f t="shared" si="122"/>
        <v>Q2</v>
      </c>
      <c r="I1293" s="3">
        <f t="shared" si="123"/>
        <v>4.557228932999779E-3</v>
      </c>
      <c r="J1293" s="3">
        <f t="shared" si="124"/>
        <v>3.6625560641954588E-2</v>
      </c>
      <c r="K1293" s="3" t="str">
        <f t="shared" si="125"/>
        <v>Normal</v>
      </c>
      <c r="L1293" s="4">
        <f>VALUE(A1293)</f>
        <v>43266</v>
      </c>
    </row>
    <row r="1294" spans="1:12">
      <c r="A1294" s="5">
        <v>43269</v>
      </c>
      <c r="B1294" s="3">
        <v>1723.790039</v>
      </c>
      <c r="C1294" s="3">
        <v>279.82412699999998</v>
      </c>
      <c r="D1294" s="3">
        <v>6741.2797849999997</v>
      </c>
      <c r="E1294" s="3">
        <v>390.39999399999999</v>
      </c>
      <c r="F1294" s="3">
        <f t="shared" si="120"/>
        <v>2018</v>
      </c>
      <c r="G1294" s="3" t="str">
        <f t="shared" si="121"/>
        <v>Jun</v>
      </c>
      <c r="H1294" s="3" t="str">
        <f t="shared" si="122"/>
        <v>Q2</v>
      </c>
      <c r="I1294" s="3">
        <f t="shared" si="123"/>
        <v>6.3754806277773338E-3</v>
      </c>
      <c r="J1294" s="3">
        <f t="shared" si="124"/>
        <v>2.9653471799939855E-3</v>
      </c>
      <c r="K1294" s="3" t="str">
        <f t="shared" si="125"/>
        <v>Normal</v>
      </c>
      <c r="L1294" s="4">
        <f>VALUE(A1294)</f>
        <v>43269</v>
      </c>
    </row>
    <row r="1295" spans="1:12">
      <c r="A1295" s="5">
        <v>43270</v>
      </c>
      <c r="B1295" s="3">
        <v>1734.780029</v>
      </c>
      <c r="C1295" s="3">
        <v>285.44586199999998</v>
      </c>
      <c r="D1295" s="3">
        <v>6761.2700199999999</v>
      </c>
      <c r="E1295" s="3">
        <v>404.98001099999999</v>
      </c>
      <c r="F1295" s="3">
        <f t="shared" si="120"/>
        <v>2018</v>
      </c>
      <c r="G1295" s="3" t="str">
        <f t="shared" si="121"/>
        <v>Jun</v>
      </c>
      <c r="H1295" s="3" t="str">
        <f t="shared" si="122"/>
        <v>Q2</v>
      </c>
      <c r="I1295" s="3">
        <f t="shared" si="123"/>
        <v>8.8195199069818347E-3</v>
      </c>
      <c r="J1295" s="3">
        <f t="shared" si="124"/>
        <v>-6.009208755132606E-3</v>
      </c>
      <c r="K1295" s="3" t="str">
        <f t="shared" si="125"/>
        <v>Normal</v>
      </c>
      <c r="L1295" s="4">
        <f>VALUE(A1295)</f>
        <v>43270</v>
      </c>
    </row>
    <row r="1296" spans="1:12">
      <c r="A1296" s="5">
        <v>43271</v>
      </c>
      <c r="B1296" s="3">
        <v>1750.079956</v>
      </c>
      <c r="C1296" s="3">
        <v>285.95239299999997</v>
      </c>
      <c r="D1296" s="3">
        <v>6720.6401370000003</v>
      </c>
      <c r="E1296" s="3">
        <v>416.76001000000002</v>
      </c>
      <c r="F1296" s="3">
        <f t="shared" si="120"/>
        <v>2018</v>
      </c>
      <c r="G1296" s="3" t="str">
        <f t="shared" si="121"/>
        <v>Jun</v>
      </c>
      <c r="H1296" s="3" t="str">
        <f t="shared" si="122"/>
        <v>Q2</v>
      </c>
      <c r="I1296" s="3">
        <f t="shared" si="123"/>
        <v>-1.13480443747223E-2</v>
      </c>
      <c r="J1296" s="3">
        <f t="shared" si="124"/>
        <v>-9.956937261317314E-2</v>
      </c>
      <c r="K1296" s="3" t="str">
        <f t="shared" si="125"/>
        <v>High Volatility</v>
      </c>
      <c r="L1296" s="4">
        <f>VALUE(A1296)</f>
        <v>43271</v>
      </c>
    </row>
    <row r="1297" spans="1:12">
      <c r="A1297" s="5">
        <v>43272</v>
      </c>
      <c r="B1297" s="3">
        <v>1730.219971</v>
      </c>
      <c r="C1297" s="3">
        <v>288.79302999999999</v>
      </c>
      <c r="D1297" s="3">
        <v>6051.4702150000003</v>
      </c>
      <c r="E1297" s="3">
        <v>415.44000199999999</v>
      </c>
      <c r="F1297" s="3">
        <f t="shared" si="120"/>
        <v>2018</v>
      </c>
      <c r="G1297" s="3" t="str">
        <f t="shared" si="121"/>
        <v>Jun</v>
      </c>
      <c r="H1297" s="3" t="str">
        <f t="shared" si="122"/>
        <v>Q2</v>
      </c>
      <c r="I1297" s="3">
        <f t="shared" si="123"/>
        <v>-8.4092931788266965E-3</v>
      </c>
      <c r="J1297" s="3">
        <f t="shared" si="124"/>
        <v>1.901518472565103E-2</v>
      </c>
      <c r="K1297" s="3" t="str">
        <f t="shared" si="125"/>
        <v>Normal</v>
      </c>
      <c r="L1297" s="4">
        <f>VALUE(A1297)</f>
        <v>43272</v>
      </c>
    </row>
    <row r="1298" spans="1:12">
      <c r="A1298" s="5">
        <v>43273</v>
      </c>
      <c r="B1298" s="3">
        <v>1715.670044</v>
      </c>
      <c r="C1298" s="3">
        <v>290.41201799999999</v>
      </c>
      <c r="D1298" s="3">
        <v>6166.5400390000004</v>
      </c>
      <c r="E1298" s="3">
        <v>411.08999599999999</v>
      </c>
      <c r="F1298" s="3">
        <f t="shared" si="120"/>
        <v>2018</v>
      </c>
      <c r="G1298" s="3" t="str">
        <f t="shared" si="121"/>
        <v>Jun</v>
      </c>
      <c r="H1298" s="3" t="str">
        <f t="shared" si="122"/>
        <v>Q2</v>
      </c>
      <c r="I1298" s="3">
        <f t="shared" si="123"/>
        <v>-3.0611958391225446E-2</v>
      </c>
      <c r="J1298" s="3">
        <f t="shared" si="124"/>
        <v>-1.2673217315665614E-2</v>
      </c>
      <c r="K1298" s="3" t="str">
        <f t="shared" si="125"/>
        <v>Normal</v>
      </c>
      <c r="L1298" s="4">
        <f>VALUE(A1298)</f>
        <v>43273</v>
      </c>
    </row>
    <row r="1299" spans="1:12">
      <c r="A1299" s="5">
        <v>43276</v>
      </c>
      <c r="B1299" s="3">
        <v>1663.150024</v>
      </c>
      <c r="C1299" s="3">
        <v>277.61914100000001</v>
      </c>
      <c r="D1299" s="3">
        <v>6088.3901370000003</v>
      </c>
      <c r="E1299" s="3">
        <v>384.48001099999999</v>
      </c>
      <c r="F1299" s="3">
        <f t="shared" si="120"/>
        <v>2018</v>
      </c>
      <c r="G1299" s="3" t="str">
        <f t="shared" si="121"/>
        <v>Jun</v>
      </c>
      <c r="H1299" s="3" t="str">
        <f t="shared" si="122"/>
        <v>Q2</v>
      </c>
      <c r="I1299" s="3">
        <f t="shared" si="123"/>
        <v>1.6799411716810927E-2</v>
      </c>
      <c r="J1299" s="3">
        <f t="shared" si="124"/>
        <v>8.7346056680598395E-3</v>
      </c>
      <c r="K1299" s="3" t="str">
        <f t="shared" si="125"/>
        <v>Normal</v>
      </c>
      <c r="L1299" s="4">
        <f>VALUE(A1299)</f>
        <v>43276</v>
      </c>
    </row>
    <row r="1300" spans="1:12">
      <c r="A1300" s="5">
        <v>43277</v>
      </c>
      <c r="B1300" s="3">
        <v>1691.089966</v>
      </c>
      <c r="C1300" s="3">
        <v>281.19476300000002</v>
      </c>
      <c r="D1300" s="3">
        <v>6141.5698240000002</v>
      </c>
      <c r="E1300" s="3">
        <v>399.39001500000001</v>
      </c>
      <c r="F1300" s="3">
        <f t="shared" si="120"/>
        <v>2018</v>
      </c>
      <c r="G1300" s="3" t="str">
        <f t="shared" si="121"/>
        <v>Jun</v>
      </c>
      <c r="H1300" s="3" t="str">
        <f t="shared" si="122"/>
        <v>Q2</v>
      </c>
      <c r="I1300" s="3">
        <f t="shared" si="123"/>
        <v>-1.8082985893608003E-2</v>
      </c>
      <c r="J1300" s="3">
        <f t="shared" si="124"/>
        <v>-4.4009926899106835E-2</v>
      </c>
      <c r="K1300" s="3" t="str">
        <f t="shared" si="125"/>
        <v>Normal</v>
      </c>
      <c r="L1300" s="4">
        <f>VALUE(A1300)</f>
        <v>43277</v>
      </c>
    </row>
    <row r="1301" spans="1:12">
      <c r="A1301" s="5">
        <v>43278</v>
      </c>
      <c r="B1301" s="3">
        <v>1660.51001</v>
      </c>
      <c r="C1301" s="3">
        <v>279.56588699999998</v>
      </c>
      <c r="D1301" s="3">
        <v>5871.2797849999997</v>
      </c>
      <c r="E1301" s="3">
        <v>390.39001500000001</v>
      </c>
      <c r="F1301" s="3">
        <f t="shared" si="120"/>
        <v>2018</v>
      </c>
      <c r="G1301" s="3" t="str">
        <f t="shared" si="121"/>
        <v>Jun</v>
      </c>
      <c r="H1301" s="3" t="str">
        <f t="shared" si="122"/>
        <v>Q2</v>
      </c>
      <c r="I1301" s="3">
        <f t="shared" si="123"/>
        <v>2.465504017045949E-2</v>
      </c>
      <c r="J1301" s="3">
        <f t="shared" si="124"/>
        <v>5.6635015222664939E-2</v>
      </c>
      <c r="K1301" s="3" t="str">
        <f t="shared" si="125"/>
        <v>High Volatility</v>
      </c>
      <c r="L1301" s="4">
        <f>VALUE(A1301)</f>
        <v>43278</v>
      </c>
    </row>
    <row r="1302" spans="1:12">
      <c r="A1302" s="5">
        <v>43279</v>
      </c>
      <c r="B1302" s="3">
        <v>1701.4499510000001</v>
      </c>
      <c r="C1302" s="3">
        <v>280.18167099999999</v>
      </c>
      <c r="D1302" s="3">
        <v>6203.7998049999997</v>
      </c>
      <c r="E1302" s="3">
        <v>395.42001299999998</v>
      </c>
      <c r="F1302" s="3">
        <f t="shared" si="120"/>
        <v>2018</v>
      </c>
      <c r="G1302" s="3" t="str">
        <f t="shared" si="121"/>
        <v>Jun</v>
      </c>
      <c r="H1302" s="3" t="str">
        <f t="shared" si="122"/>
        <v>Q2</v>
      </c>
      <c r="I1302" s="3">
        <f t="shared" si="123"/>
        <v>-9.697035161277635E-4</v>
      </c>
      <c r="J1302" s="3">
        <f t="shared" si="124"/>
        <v>2.9269171106013788E-2</v>
      </c>
      <c r="K1302" s="3" t="str">
        <f t="shared" si="125"/>
        <v>Normal</v>
      </c>
      <c r="L1302" s="4">
        <f>VALUE(A1302)</f>
        <v>43279</v>
      </c>
    </row>
    <row r="1303" spans="1:12">
      <c r="A1303" s="5">
        <v>43280</v>
      </c>
      <c r="B1303" s="3">
        <v>1699.8000489999999</v>
      </c>
      <c r="C1303" s="3">
        <v>280.261169</v>
      </c>
      <c r="D1303" s="3">
        <v>6385.3798829999996</v>
      </c>
      <c r="E1303" s="3">
        <v>391.42999300000002</v>
      </c>
      <c r="F1303" s="3">
        <f t="shared" si="120"/>
        <v>2018</v>
      </c>
      <c r="G1303" s="3" t="str">
        <f t="shared" si="121"/>
        <v>Jun</v>
      </c>
      <c r="H1303" s="3" t="str">
        <f t="shared" si="122"/>
        <v>Q2</v>
      </c>
      <c r="I1303" s="3">
        <f t="shared" si="123"/>
        <v>8.2244849964703513E-3</v>
      </c>
      <c r="J1303" s="3">
        <f t="shared" si="124"/>
        <v>1.9450713548094842E-2</v>
      </c>
      <c r="K1303" s="3" t="str">
        <f t="shared" si="125"/>
        <v>Normal</v>
      </c>
      <c r="L1303" s="4">
        <f>VALUE(A1303)</f>
        <v>43280</v>
      </c>
    </row>
    <row r="1304" spans="1:12">
      <c r="A1304" s="5">
        <v>43283</v>
      </c>
      <c r="B1304" s="3">
        <v>1713.780029</v>
      </c>
      <c r="C1304" s="3">
        <v>279.09906000000001</v>
      </c>
      <c r="D1304" s="3">
        <v>6509.580078</v>
      </c>
      <c r="E1304" s="3">
        <v>398.17999300000002</v>
      </c>
      <c r="F1304" s="3">
        <f t="shared" si="120"/>
        <v>2018</v>
      </c>
      <c r="G1304" s="3" t="str">
        <f t="shared" si="121"/>
        <v>Jul</v>
      </c>
      <c r="H1304" s="3" t="str">
        <f t="shared" si="122"/>
        <v>Q3</v>
      </c>
      <c r="I1304" s="3">
        <f t="shared" si="123"/>
        <v>-1.1565117847455085E-2</v>
      </c>
      <c r="J1304" s="3">
        <f t="shared" si="124"/>
        <v>1.2363313767656581E-2</v>
      </c>
      <c r="K1304" s="3" t="str">
        <f t="shared" si="125"/>
        <v>Normal</v>
      </c>
      <c r="L1304" s="4">
        <f>VALUE(A1304)</f>
        <v>43283</v>
      </c>
    </row>
    <row r="1305" spans="1:12">
      <c r="A1305" s="5">
        <v>43284</v>
      </c>
      <c r="B1305" s="3">
        <v>1693.959961</v>
      </c>
      <c r="C1305" s="3">
        <v>278.23492399999998</v>
      </c>
      <c r="D1305" s="3">
        <v>6590.0600590000004</v>
      </c>
      <c r="E1305" s="3">
        <v>390.51998900000001</v>
      </c>
      <c r="F1305" s="3">
        <f t="shared" si="120"/>
        <v>2018</v>
      </c>
      <c r="G1305" s="3" t="str">
        <f t="shared" si="121"/>
        <v>Jul</v>
      </c>
      <c r="H1305" s="3" t="str">
        <f t="shared" si="122"/>
        <v>Q3</v>
      </c>
      <c r="I1305" s="3">
        <f t="shared" si="123"/>
        <v>3.4062310401916564E-3</v>
      </c>
      <c r="J1305" s="3">
        <f t="shared" si="124"/>
        <v>1.8148485587268553E-3</v>
      </c>
      <c r="K1305" s="3" t="str">
        <f t="shared" si="125"/>
        <v>Normal</v>
      </c>
      <c r="L1305" s="4">
        <f>VALUE(A1305)</f>
        <v>43284</v>
      </c>
    </row>
    <row r="1306" spans="1:12">
      <c r="A1306" s="5">
        <v>43286</v>
      </c>
      <c r="B1306" s="3">
        <v>1699.7299800000001</v>
      </c>
      <c r="C1306" s="3">
        <v>275.86111499999998</v>
      </c>
      <c r="D1306" s="3">
        <v>6602.0200199999999</v>
      </c>
      <c r="E1306" s="3">
        <v>398.39001500000001</v>
      </c>
      <c r="F1306" s="3">
        <f t="shared" si="120"/>
        <v>2018</v>
      </c>
      <c r="G1306" s="3" t="str">
        <f t="shared" si="121"/>
        <v>Jul</v>
      </c>
      <c r="H1306" s="3" t="str">
        <f t="shared" si="122"/>
        <v>Q3</v>
      </c>
      <c r="I1306" s="3">
        <f t="shared" si="123"/>
        <v>6.4127979904195801E-3</v>
      </c>
      <c r="J1306" s="3">
        <f t="shared" si="124"/>
        <v>2.3638228531151897E-2</v>
      </c>
      <c r="K1306" s="3" t="str">
        <f t="shared" si="125"/>
        <v>Normal</v>
      </c>
      <c r="L1306" s="4">
        <f>VALUE(A1306)</f>
        <v>43286</v>
      </c>
    </row>
    <row r="1307" spans="1:12">
      <c r="A1307" s="5">
        <v>43287</v>
      </c>
      <c r="B1307" s="3">
        <v>1710.630005</v>
      </c>
      <c r="C1307" s="3">
        <v>277.26156600000002</v>
      </c>
      <c r="D1307" s="3">
        <v>6758.080078</v>
      </c>
      <c r="E1307" s="3">
        <v>408.25</v>
      </c>
      <c r="F1307" s="3">
        <f t="shared" si="120"/>
        <v>2018</v>
      </c>
      <c r="G1307" s="3" t="str">
        <f t="shared" si="121"/>
        <v>Jul</v>
      </c>
      <c r="H1307" s="3" t="str">
        <f t="shared" si="122"/>
        <v>Q3</v>
      </c>
      <c r="I1307" s="3">
        <f t="shared" si="123"/>
        <v>1.6596233502872499E-2</v>
      </c>
      <c r="J1307" s="3">
        <f t="shared" si="124"/>
        <v>-6.6768960236046504E-2</v>
      </c>
      <c r="K1307" s="3" t="str">
        <f t="shared" si="125"/>
        <v>High Volatility</v>
      </c>
      <c r="L1307" s="4">
        <f>VALUE(A1307)</f>
        <v>43287</v>
      </c>
    </row>
    <row r="1308" spans="1:12">
      <c r="A1308" s="5">
        <v>43290</v>
      </c>
      <c r="B1308" s="3">
        <v>1739.0200199999999</v>
      </c>
      <c r="C1308" s="3">
        <v>276.38751200000002</v>
      </c>
      <c r="D1308" s="3">
        <v>6306.8500979999999</v>
      </c>
      <c r="E1308" s="3">
        <v>418.97000100000002</v>
      </c>
      <c r="F1308" s="3">
        <f t="shared" si="120"/>
        <v>2018</v>
      </c>
      <c r="G1308" s="3" t="str">
        <f t="shared" si="121"/>
        <v>Jul</v>
      </c>
      <c r="H1308" s="3" t="str">
        <f t="shared" si="122"/>
        <v>Q3</v>
      </c>
      <c r="I1308" s="3">
        <f t="shared" si="123"/>
        <v>2.3288553055301467E-3</v>
      </c>
      <c r="J1308" s="3">
        <f t="shared" si="124"/>
        <v>1.3875351980816936E-2</v>
      </c>
      <c r="K1308" s="3" t="str">
        <f t="shared" si="125"/>
        <v>Normal</v>
      </c>
      <c r="L1308" s="4">
        <f>VALUE(A1308)</f>
        <v>43290</v>
      </c>
    </row>
    <row r="1309" spans="1:12">
      <c r="A1309" s="5">
        <v>43291</v>
      </c>
      <c r="B1309" s="3">
        <v>1743.0699460000001</v>
      </c>
      <c r="C1309" s="3">
        <v>270.547302</v>
      </c>
      <c r="D1309" s="3">
        <v>6394.3598629999997</v>
      </c>
      <c r="E1309" s="3">
        <v>415.63000499999998</v>
      </c>
      <c r="F1309" s="3">
        <f t="shared" si="120"/>
        <v>2018</v>
      </c>
      <c r="G1309" s="3" t="str">
        <f t="shared" si="121"/>
        <v>Jul</v>
      </c>
      <c r="H1309" s="3" t="str">
        <f t="shared" si="122"/>
        <v>Q3</v>
      </c>
      <c r="I1309" s="3">
        <f t="shared" si="123"/>
        <v>6.8442772634437514E-3</v>
      </c>
      <c r="J1309" s="3">
        <f t="shared" si="124"/>
        <v>-2.2013112808130328E-2</v>
      </c>
      <c r="K1309" s="3" t="str">
        <f t="shared" si="125"/>
        <v>Normal</v>
      </c>
      <c r="L1309" s="4">
        <f>VALUE(A1309)</f>
        <v>43291</v>
      </c>
    </row>
    <row r="1310" spans="1:12">
      <c r="A1310" s="5">
        <v>43292</v>
      </c>
      <c r="B1310" s="3">
        <v>1755</v>
      </c>
      <c r="C1310" s="3">
        <v>277.76812699999999</v>
      </c>
      <c r="D1310" s="3">
        <v>6253.6000979999999</v>
      </c>
      <c r="E1310" s="3">
        <v>418.64999399999999</v>
      </c>
      <c r="F1310" s="3">
        <f t="shared" si="120"/>
        <v>2018</v>
      </c>
      <c r="G1310" s="3" t="str">
        <f t="shared" si="121"/>
        <v>Jul</v>
      </c>
      <c r="H1310" s="3" t="str">
        <f t="shared" si="122"/>
        <v>Q3</v>
      </c>
      <c r="I1310" s="3">
        <f t="shared" si="123"/>
        <v>2.3715096866096876E-2</v>
      </c>
      <c r="J1310" s="3">
        <f t="shared" si="124"/>
        <v>-3.8010137564763631E-3</v>
      </c>
      <c r="K1310" s="3" t="str">
        <f t="shared" si="125"/>
        <v>Normal</v>
      </c>
      <c r="L1310" s="4">
        <f>VALUE(A1310)</f>
        <v>43292</v>
      </c>
    </row>
    <row r="1311" spans="1:12">
      <c r="A1311" s="5">
        <v>43293</v>
      </c>
      <c r="B1311" s="3">
        <v>1796.619995</v>
      </c>
      <c r="C1311" s="3">
        <v>277.14239500000002</v>
      </c>
      <c r="D1311" s="3">
        <v>6229.830078</v>
      </c>
      <c r="E1311" s="3">
        <v>413.5</v>
      </c>
      <c r="F1311" s="3">
        <f t="shared" si="120"/>
        <v>2018</v>
      </c>
      <c r="G1311" s="3" t="str">
        <f t="shared" si="121"/>
        <v>Jul</v>
      </c>
      <c r="H1311" s="3" t="str">
        <f t="shared" si="122"/>
        <v>Q3</v>
      </c>
      <c r="I1311" s="3">
        <f t="shared" si="123"/>
        <v>9.1338368968781267E-3</v>
      </c>
      <c r="J1311" s="3">
        <f t="shared" si="124"/>
        <v>6.2473488863591508E-3</v>
      </c>
      <c r="K1311" s="3" t="str">
        <f t="shared" si="125"/>
        <v>Normal</v>
      </c>
      <c r="L1311" s="4">
        <f>VALUE(A1311)</f>
        <v>43293</v>
      </c>
    </row>
    <row r="1312" spans="1:12">
      <c r="A1312" s="5">
        <v>43294</v>
      </c>
      <c r="B1312" s="3">
        <v>1813.030029</v>
      </c>
      <c r="C1312" s="3">
        <v>279.49633799999998</v>
      </c>
      <c r="D1312" s="3">
        <v>6268.75</v>
      </c>
      <c r="E1312" s="3">
        <v>395.79998799999998</v>
      </c>
      <c r="F1312" s="3">
        <f t="shared" si="120"/>
        <v>2018</v>
      </c>
      <c r="G1312" s="3" t="str">
        <f t="shared" si="121"/>
        <v>Jul</v>
      </c>
      <c r="H1312" s="3" t="str">
        <f t="shared" si="122"/>
        <v>Q3</v>
      </c>
      <c r="I1312" s="3">
        <f t="shared" si="123"/>
        <v>5.2177629982321826E-3</v>
      </c>
      <c r="J1312" s="3">
        <f t="shared" si="124"/>
        <v>0.16876573399800604</v>
      </c>
      <c r="K1312" s="3" t="str">
        <f t="shared" si="125"/>
        <v>High Volatility</v>
      </c>
      <c r="L1312" s="4">
        <f>VALUE(A1312)</f>
        <v>43294</v>
      </c>
    </row>
    <row r="1313" spans="1:12">
      <c r="A1313" s="5">
        <v>43297</v>
      </c>
      <c r="B1313" s="3">
        <v>1822.48999</v>
      </c>
      <c r="C1313" s="3">
        <v>277.301331</v>
      </c>
      <c r="D1313" s="3">
        <v>7326.7001950000003</v>
      </c>
      <c r="E1313" s="3">
        <v>400.48001099999999</v>
      </c>
      <c r="F1313" s="3">
        <f t="shared" si="120"/>
        <v>2018</v>
      </c>
      <c r="G1313" s="3" t="str">
        <f t="shared" si="121"/>
        <v>Jul</v>
      </c>
      <c r="H1313" s="3" t="str">
        <f t="shared" si="122"/>
        <v>Q3</v>
      </c>
      <c r="I1313" s="3">
        <f t="shared" si="123"/>
        <v>1.1764160087375785E-2</v>
      </c>
      <c r="J1313" s="3">
        <f t="shared" si="124"/>
        <v>7.7374453015952799E-3</v>
      </c>
      <c r="K1313" s="3" t="str">
        <f t="shared" si="125"/>
        <v>Normal</v>
      </c>
      <c r="L1313" s="4">
        <f>VALUE(A1313)</f>
        <v>43297</v>
      </c>
    </row>
    <row r="1314" spans="1:12">
      <c r="A1314" s="5">
        <v>43298</v>
      </c>
      <c r="B1314" s="3">
        <v>1843.9300539999999</v>
      </c>
      <c r="C1314" s="3">
        <v>280.13204999999999</v>
      </c>
      <c r="D1314" s="3">
        <v>7383.3901370000003</v>
      </c>
      <c r="E1314" s="3">
        <v>379.48001099999999</v>
      </c>
      <c r="F1314" s="3">
        <f t="shared" si="120"/>
        <v>2018</v>
      </c>
      <c r="G1314" s="3" t="str">
        <f t="shared" si="121"/>
        <v>Jul</v>
      </c>
      <c r="H1314" s="3" t="str">
        <f t="shared" si="122"/>
        <v>Q3</v>
      </c>
      <c r="I1314" s="3">
        <f t="shared" si="123"/>
        <v>-5.4774854274378332E-4</v>
      </c>
      <c r="J1314" s="3">
        <f t="shared" si="124"/>
        <v>1.274615877717091E-2</v>
      </c>
      <c r="K1314" s="3" t="str">
        <f t="shared" si="125"/>
        <v>Normal</v>
      </c>
      <c r="L1314" s="4">
        <f>VALUE(A1314)</f>
        <v>43298</v>
      </c>
    </row>
    <row r="1315" spans="1:12">
      <c r="A1315" s="5">
        <v>43299</v>
      </c>
      <c r="B1315" s="3">
        <v>1842.920044</v>
      </c>
      <c r="C1315" s="3">
        <v>281.76092499999999</v>
      </c>
      <c r="D1315" s="3">
        <v>7477.5</v>
      </c>
      <c r="E1315" s="3">
        <v>375.13000499999998</v>
      </c>
      <c r="F1315" s="3">
        <f t="shared" si="120"/>
        <v>2018</v>
      </c>
      <c r="G1315" s="3" t="str">
        <f t="shared" si="121"/>
        <v>Jul</v>
      </c>
      <c r="H1315" s="3" t="str">
        <f t="shared" si="122"/>
        <v>Q3</v>
      </c>
      <c r="I1315" s="3">
        <f t="shared" si="123"/>
        <v>-1.6251422896781938E-2</v>
      </c>
      <c r="J1315" s="3">
        <f t="shared" si="124"/>
        <v>-1.9200243931795407E-2</v>
      </c>
      <c r="K1315" s="3" t="str">
        <f t="shared" si="125"/>
        <v>Normal</v>
      </c>
      <c r="L1315" s="4">
        <f>VALUE(A1315)</f>
        <v>43299</v>
      </c>
    </row>
    <row r="1316" spans="1:12">
      <c r="A1316" s="5">
        <v>43300</v>
      </c>
      <c r="B1316" s="3">
        <v>1812.969971</v>
      </c>
      <c r="C1316" s="3">
        <v>274.87780800000002</v>
      </c>
      <c r="D1316" s="3">
        <v>7333.9301759999998</v>
      </c>
      <c r="E1316" s="3">
        <v>364.23001099999999</v>
      </c>
      <c r="F1316" s="3">
        <f t="shared" si="120"/>
        <v>2018</v>
      </c>
      <c r="G1316" s="3" t="str">
        <f t="shared" si="121"/>
        <v>Jul</v>
      </c>
      <c r="H1316" s="3" t="str">
        <f t="shared" si="122"/>
        <v>Q3</v>
      </c>
      <c r="I1316" s="3">
        <f t="shared" si="123"/>
        <v>4.0264318310657152E-4</v>
      </c>
      <c r="J1316" s="3">
        <f t="shared" si="124"/>
        <v>9.7450785983594652E-3</v>
      </c>
      <c r="K1316" s="3" t="str">
        <f t="shared" si="125"/>
        <v>Normal</v>
      </c>
      <c r="L1316" s="4">
        <f>VALUE(A1316)</f>
        <v>43300</v>
      </c>
    </row>
    <row r="1317" spans="1:12">
      <c r="A1317" s="5">
        <v>43301</v>
      </c>
      <c r="B1317" s="3">
        <v>1813.6999510000001</v>
      </c>
      <c r="C1317" s="3">
        <v>275.294983</v>
      </c>
      <c r="D1317" s="3">
        <v>7405.3999020000001</v>
      </c>
      <c r="E1317" s="3">
        <v>361.04998799999998</v>
      </c>
      <c r="F1317" s="3">
        <f t="shared" si="120"/>
        <v>2018</v>
      </c>
      <c r="G1317" s="3" t="str">
        <f t="shared" si="121"/>
        <v>Jul</v>
      </c>
      <c r="H1317" s="3" t="str">
        <f t="shared" si="122"/>
        <v>Q3</v>
      </c>
      <c r="I1317" s="3">
        <f t="shared" si="123"/>
        <v>-6.4508746298135924E-3</v>
      </c>
      <c r="J1317" s="3">
        <f t="shared" si="124"/>
        <v>0.13374300160785565</v>
      </c>
      <c r="K1317" s="3" t="str">
        <f t="shared" si="125"/>
        <v>High Volatility</v>
      </c>
      <c r="L1317" s="4">
        <f>VALUE(A1317)</f>
        <v>43301</v>
      </c>
    </row>
    <row r="1318" spans="1:12">
      <c r="A1318" s="5">
        <v>43304</v>
      </c>
      <c r="B1318" s="3">
        <v>1802</v>
      </c>
      <c r="C1318" s="3">
        <v>269.91162100000003</v>
      </c>
      <c r="D1318" s="3">
        <v>8395.8203130000002</v>
      </c>
      <c r="E1318" s="3">
        <v>362.66000400000001</v>
      </c>
      <c r="F1318" s="3">
        <f t="shared" si="120"/>
        <v>2018</v>
      </c>
      <c r="G1318" s="3" t="str">
        <f t="shared" si="121"/>
        <v>Jul</v>
      </c>
      <c r="H1318" s="3" t="str">
        <f t="shared" si="122"/>
        <v>Q3</v>
      </c>
      <c r="I1318" s="3">
        <f t="shared" si="123"/>
        <v>1.5116531631520552E-2</v>
      </c>
      <c r="J1318" s="3">
        <f t="shared" si="124"/>
        <v>-2.6869361728799553E-2</v>
      </c>
      <c r="K1318" s="3" t="str">
        <f t="shared" si="125"/>
        <v>Normal</v>
      </c>
      <c r="L1318" s="4">
        <f>VALUE(A1318)</f>
        <v>43304</v>
      </c>
    </row>
    <row r="1319" spans="1:12">
      <c r="A1319" s="5">
        <v>43305</v>
      </c>
      <c r="B1319" s="3">
        <v>1829.23999</v>
      </c>
      <c r="C1319" s="3">
        <v>261.290344</v>
      </c>
      <c r="D1319" s="3">
        <v>8170.2299800000001</v>
      </c>
      <c r="E1319" s="3">
        <v>357.32000699999998</v>
      </c>
      <c r="F1319" s="3">
        <f t="shared" si="120"/>
        <v>2018</v>
      </c>
      <c r="G1319" s="3" t="str">
        <f t="shared" si="121"/>
        <v>Jul</v>
      </c>
      <c r="H1319" s="3" t="str">
        <f t="shared" si="122"/>
        <v>Q3</v>
      </c>
      <c r="I1319" s="3">
        <f t="shared" si="123"/>
        <v>1.8789221309337335E-2</v>
      </c>
      <c r="J1319" s="3">
        <f t="shared" si="124"/>
        <v>-2.8515718721543265E-2</v>
      </c>
      <c r="K1319" s="3" t="str">
        <f t="shared" si="125"/>
        <v>Normal</v>
      </c>
      <c r="L1319" s="4">
        <f>VALUE(A1319)</f>
        <v>43305</v>
      </c>
    </row>
    <row r="1320" spans="1:12">
      <c r="A1320" s="5">
        <v>43306</v>
      </c>
      <c r="B1320" s="3">
        <v>1863.6099850000001</v>
      </c>
      <c r="C1320" s="3">
        <v>260.42626999999999</v>
      </c>
      <c r="D1320" s="3">
        <v>7937.25</v>
      </c>
      <c r="E1320" s="3">
        <v>362.86999500000002</v>
      </c>
      <c r="F1320" s="3">
        <f t="shared" si="120"/>
        <v>2018</v>
      </c>
      <c r="G1320" s="3" t="str">
        <f t="shared" si="121"/>
        <v>Jul</v>
      </c>
      <c r="H1320" s="3" t="str">
        <f t="shared" si="122"/>
        <v>Q3</v>
      </c>
      <c r="I1320" s="3">
        <f t="shared" si="123"/>
        <v>-2.9839926512306193E-2</v>
      </c>
      <c r="J1320" s="3">
        <f t="shared" si="124"/>
        <v>3.0947763646099129E-2</v>
      </c>
      <c r="K1320" s="3" t="str">
        <f t="shared" si="125"/>
        <v>Normal</v>
      </c>
      <c r="L1320" s="4">
        <f>VALUE(A1320)</f>
        <v>43306</v>
      </c>
    </row>
    <row r="1321" spans="1:12">
      <c r="A1321" s="5">
        <v>43307</v>
      </c>
      <c r="B1321" s="3">
        <v>1808</v>
      </c>
      <c r="C1321" s="3">
        <v>258.24115</v>
      </c>
      <c r="D1321" s="3">
        <v>8182.8901370000003</v>
      </c>
      <c r="E1321" s="3">
        <v>363.08999599999999</v>
      </c>
      <c r="F1321" s="3">
        <f t="shared" si="120"/>
        <v>2018</v>
      </c>
      <c r="G1321" s="3" t="str">
        <f t="shared" si="121"/>
        <v>Jul</v>
      </c>
      <c r="H1321" s="3" t="str">
        <f t="shared" si="122"/>
        <v>Q3</v>
      </c>
      <c r="I1321" s="3">
        <f t="shared" si="123"/>
        <v>5.1272234513273958E-3</v>
      </c>
      <c r="J1321" s="3">
        <f t="shared" si="124"/>
        <v>5.8634515674422117E-3</v>
      </c>
      <c r="K1321" s="3" t="str">
        <f t="shared" si="125"/>
        <v>Normal</v>
      </c>
      <c r="L1321" s="4">
        <f>VALUE(A1321)</f>
        <v>43307</v>
      </c>
    </row>
    <row r="1322" spans="1:12">
      <c r="A1322" s="5">
        <v>43308</v>
      </c>
      <c r="B1322" s="3">
        <v>1817.2700199999999</v>
      </c>
      <c r="C1322" s="3">
        <v>258.93640099999999</v>
      </c>
      <c r="D1322" s="3">
        <v>8230.8701170000004</v>
      </c>
      <c r="E1322" s="3">
        <v>355.209991</v>
      </c>
      <c r="F1322" s="3">
        <f t="shared" si="120"/>
        <v>2018</v>
      </c>
      <c r="G1322" s="3" t="str">
        <f t="shared" si="121"/>
        <v>Jul</v>
      </c>
      <c r="H1322" s="3" t="str">
        <f t="shared" si="122"/>
        <v>Q3</v>
      </c>
      <c r="I1322" s="3">
        <f t="shared" si="123"/>
        <v>-2.0938027140292529E-2</v>
      </c>
      <c r="J1322" s="3">
        <f t="shared" si="124"/>
        <v>-6.0208739167983243E-2</v>
      </c>
      <c r="K1322" s="3" t="str">
        <f t="shared" si="125"/>
        <v>High Volatility</v>
      </c>
      <c r="L1322" s="4">
        <f>VALUE(A1322)</f>
        <v>43308</v>
      </c>
    </row>
    <row r="1323" spans="1:12">
      <c r="A1323" s="5">
        <v>43311</v>
      </c>
      <c r="B1323" s="3">
        <v>1779.219971</v>
      </c>
      <c r="C1323" s="3">
        <v>254.67541499999999</v>
      </c>
      <c r="D1323" s="3">
        <v>7735.2998049999997</v>
      </c>
      <c r="E1323" s="3">
        <v>334.959991</v>
      </c>
      <c r="F1323" s="3">
        <f t="shared" si="120"/>
        <v>2018</v>
      </c>
      <c r="G1323" s="3" t="str">
        <f t="shared" si="121"/>
        <v>Jul</v>
      </c>
      <c r="H1323" s="3" t="str">
        <f t="shared" si="122"/>
        <v>Q3</v>
      </c>
      <c r="I1323" s="3">
        <f t="shared" si="123"/>
        <v>-1.0004552719804745E-3</v>
      </c>
      <c r="J1323" s="3">
        <f t="shared" si="124"/>
        <v>-1.6082104913320752E-2</v>
      </c>
      <c r="K1323" s="3" t="str">
        <f t="shared" si="125"/>
        <v>Normal</v>
      </c>
      <c r="L1323" s="4">
        <f>VALUE(A1323)</f>
        <v>43311</v>
      </c>
    </row>
    <row r="1324" spans="1:12">
      <c r="A1324" s="5">
        <v>43312</v>
      </c>
      <c r="B1324" s="3">
        <v>1777.4399410000001</v>
      </c>
      <c r="C1324" s="3">
        <v>260.88311800000002</v>
      </c>
      <c r="D1324" s="3">
        <v>7610.8999020000001</v>
      </c>
      <c r="E1324" s="3">
        <v>337.45001200000002</v>
      </c>
      <c r="F1324" s="3">
        <f t="shared" si="120"/>
        <v>2018</v>
      </c>
      <c r="G1324" s="3" t="str">
        <f t="shared" si="121"/>
        <v>Jul</v>
      </c>
      <c r="H1324" s="3" t="str">
        <f t="shared" si="122"/>
        <v>Q3</v>
      </c>
      <c r="I1324" s="3">
        <f t="shared" si="123"/>
        <v>1.1100292361439553E-2</v>
      </c>
      <c r="J1324" s="3">
        <f t="shared" si="124"/>
        <v>-9.0081408089447805E-3</v>
      </c>
      <c r="K1324" s="3" t="str">
        <f t="shared" si="125"/>
        <v>Normal</v>
      </c>
      <c r="L1324" s="4">
        <f>VALUE(A1324)</f>
        <v>43312</v>
      </c>
    </row>
    <row r="1325" spans="1:12">
      <c r="A1325" s="5">
        <v>43313</v>
      </c>
      <c r="B1325" s="3">
        <v>1797.170044</v>
      </c>
      <c r="C1325" s="3">
        <v>268.511169</v>
      </c>
      <c r="D1325" s="3">
        <v>7542.3398440000001</v>
      </c>
      <c r="E1325" s="3">
        <v>338.38000499999998</v>
      </c>
      <c r="F1325" s="3">
        <f t="shared" si="120"/>
        <v>2018</v>
      </c>
      <c r="G1325" s="3" t="str">
        <f t="shared" si="121"/>
        <v>Aug</v>
      </c>
      <c r="H1325" s="3" t="str">
        <f t="shared" si="122"/>
        <v>Q3</v>
      </c>
      <c r="I1325" s="3">
        <f t="shared" si="123"/>
        <v>2.0676903737663278E-2</v>
      </c>
      <c r="J1325" s="3">
        <f t="shared" si="124"/>
        <v>-1.6538600564284012E-2</v>
      </c>
      <c r="K1325" s="3" t="str">
        <f t="shared" si="125"/>
        <v>Normal</v>
      </c>
      <c r="L1325" s="4">
        <f>VALUE(A1325)</f>
        <v>43313</v>
      </c>
    </row>
    <row r="1326" spans="1:12">
      <c r="A1326" s="5">
        <v>43314</v>
      </c>
      <c r="B1326" s="3">
        <v>1834.329956</v>
      </c>
      <c r="C1326" s="3">
        <v>274.87780800000002</v>
      </c>
      <c r="D1326" s="3">
        <v>7417.6000979999999</v>
      </c>
      <c r="E1326" s="3">
        <v>344.5</v>
      </c>
      <c r="F1326" s="3">
        <f t="shared" si="120"/>
        <v>2018</v>
      </c>
      <c r="G1326" s="3" t="str">
        <f t="shared" si="121"/>
        <v>Aug</v>
      </c>
      <c r="H1326" s="3" t="str">
        <f t="shared" si="122"/>
        <v>Q3</v>
      </c>
      <c r="I1326" s="3">
        <f t="shared" si="123"/>
        <v>-6.0185011774403245E-3</v>
      </c>
      <c r="J1326" s="3">
        <f t="shared" si="124"/>
        <v>-5.3886695928481367E-2</v>
      </c>
      <c r="K1326" s="3" t="str">
        <f t="shared" si="125"/>
        <v>High Volatility</v>
      </c>
      <c r="L1326" s="4">
        <f>VALUE(A1326)</f>
        <v>43314</v>
      </c>
    </row>
    <row r="1327" spans="1:12">
      <c r="A1327" s="5">
        <v>43315</v>
      </c>
      <c r="B1327" s="3">
        <v>1823.290039</v>
      </c>
      <c r="C1327" s="3">
        <v>277.60919200000001</v>
      </c>
      <c r="D1327" s="3">
        <v>7017.8901370000003</v>
      </c>
      <c r="E1327" s="3">
        <v>343.08999599999999</v>
      </c>
      <c r="F1327" s="3">
        <f t="shared" si="120"/>
        <v>2018</v>
      </c>
      <c r="G1327" s="3" t="str">
        <f t="shared" si="121"/>
        <v>Aug</v>
      </c>
      <c r="H1327" s="3" t="str">
        <f t="shared" si="122"/>
        <v>Q3</v>
      </c>
      <c r="I1327" s="3">
        <f t="shared" si="123"/>
        <v>1.3415288010576369E-2</v>
      </c>
      <c r="J1327" s="3">
        <f t="shared" si="124"/>
        <v>-4.1989853110748508E-2</v>
      </c>
      <c r="K1327" s="3" t="str">
        <f t="shared" si="125"/>
        <v>Normal</v>
      </c>
      <c r="L1327" s="4">
        <f>VALUE(A1327)</f>
        <v>43315</v>
      </c>
    </row>
    <row r="1328" spans="1:12">
      <c r="A1328" s="5">
        <v>43318</v>
      </c>
      <c r="B1328" s="3">
        <v>1847.75</v>
      </c>
      <c r="C1328" s="3">
        <v>278.24490400000002</v>
      </c>
      <c r="D1328" s="3">
        <v>6723.2099609999996</v>
      </c>
      <c r="E1328" s="3">
        <v>350.92001299999998</v>
      </c>
      <c r="F1328" s="3">
        <f t="shared" si="120"/>
        <v>2018</v>
      </c>
      <c r="G1328" s="3" t="str">
        <f t="shared" si="121"/>
        <v>Aug</v>
      </c>
      <c r="H1328" s="3" t="str">
        <f t="shared" si="122"/>
        <v>Q3</v>
      </c>
      <c r="I1328" s="3">
        <f t="shared" si="123"/>
        <v>7.971846840752304E-3</v>
      </c>
      <c r="J1328" s="3">
        <f t="shared" si="124"/>
        <v>-6.5175703799502341E-2</v>
      </c>
      <c r="K1328" s="3" t="str">
        <f t="shared" si="125"/>
        <v>High Volatility</v>
      </c>
      <c r="L1328" s="4">
        <f>VALUE(A1328)</f>
        <v>43318</v>
      </c>
    </row>
    <row r="1329" spans="1:12">
      <c r="A1329" s="5">
        <v>43319</v>
      </c>
      <c r="B1329" s="3">
        <v>1862.4799800000001</v>
      </c>
      <c r="C1329" s="3">
        <v>275.57308999999998</v>
      </c>
      <c r="D1329" s="3">
        <v>6285.0200199999999</v>
      </c>
      <c r="E1329" s="3">
        <v>351.82998700000002</v>
      </c>
      <c r="F1329" s="3">
        <f t="shared" si="120"/>
        <v>2018</v>
      </c>
      <c r="G1329" s="3" t="str">
        <f t="shared" si="121"/>
        <v>Aug</v>
      </c>
      <c r="H1329" s="3" t="str">
        <f t="shared" si="122"/>
        <v>Q3</v>
      </c>
      <c r="I1329" s="3">
        <f t="shared" si="123"/>
        <v>1.290754276993617E-2</v>
      </c>
      <c r="J1329" s="3">
        <f t="shared" si="124"/>
        <v>4.108502648810973E-2</v>
      </c>
      <c r="K1329" s="3" t="str">
        <f t="shared" si="125"/>
        <v>Normal</v>
      </c>
      <c r="L1329" s="4">
        <f>VALUE(A1329)</f>
        <v>43319</v>
      </c>
    </row>
    <row r="1330" spans="1:12">
      <c r="A1330" s="5">
        <v>43320</v>
      </c>
      <c r="B1330" s="3">
        <v>1886.5200199999999</v>
      </c>
      <c r="C1330" s="3">
        <v>284.97900399999997</v>
      </c>
      <c r="D1330" s="3">
        <v>6543.2402339999999</v>
      </c>
      <c r="E1330" s="3">
        <v>347.60998499999999</v>
      </c>
      <c r="F1330" s="3">
        <f t="shared" si="120"/>
        <v>2018</v>
      </c>
      <c r="G1330" s="3" t="str">
        <f t="shared" si="121"/>
        <v>Aug</v>
      </c>
      <c r="H1330" s="3" t="str">
        <f t="shared" si="122"/>
        <v>Q3</v>
      </c>
      <c r="I1330" s="3">
        <f t="shared" si="123"/>
        <v>6.3609184491983288E-3</v>
      </c>
      <c r="J1330" s="3">
        <f t="shared" si="124"/>
        <v>-5.9577527961508121E-2</v>
      </c>
      <c r="K1330" s="3" t="str">
        <f t="shared" si="125"/>
        <v>High Volatility</v>
      </c>
      <c r="L1330" s="4">
        <f>VALUE(A1330)</f>
        <v>43320</v>
      </c>
    </row>
    <row r="1331" spans="1:12">
      <c r="A1331" s="5">
        <v>43321</v>
      </c>
      <c r="B1331" s="3">
        <v>1898.5200199999999</v>
      </c>
      <c r="C1331" s="3">
        <v>289.47839399999998</v>
      </c>
      <c r="D1331" s="3">
        <v>6153.4101559999999</v>
      </c>
      <c r="E1331" s="3">
        <v>349.35998499999999</v>
      </c>
      <c r="F1331" s="3">
        <f t="shared" si="120"/>
        <v>2018</v>
      </c>
      <c r="G1331" s="3" t="str">
        <f t="shared" si="121"/>
        <v>Aug</v>
      </c>
      <c r="H1331" s="3" t="str">
        <f t="shared" si="122"/>
        <v>Q3</v>
      </c>
      <c r="I1331" s="3">
        <f t="shared" si="123"/>
        <v>-6.4365773714622123E-3</v>
      </c>
      <c r="J1331" s="3">
        <f t="shared" si="124"/>
        <v>1.4484632218623153E-2</v>
      </c>
      <c r="K1331" s="3" t="str">
        <f t="shared" si="125"/>
        <v>Normal</v>
      </c>
      <c r="L1331" s="4">
        <f>VALUE(A1331)</f>
        <v>43321</v>
      </c>
    </row>
    <row r="1332" spans="1:12">
      <c r="A1332" s="5">
        <v>43322</v>
      </c>
      <c r="B1332" s="3">
        <v>1886.3000489999999</v>
      </c>
      <c r="C1332" s="3">
        <v>289.33932499999997</v>
      </c>
      <c r="D1332" s="3">
        <v>6242.5400390000004</v>
      </c>
      <c r="E1332" s="3">
        <v>345.86999500000002</v>
      </c>
      <c r="F1332" s="3">
        <f t="shared" si="120"/>
        <v>2018</v>
      </c>
      <c r="G1332" s="3" t="str">
        <f t="shared" si="121"/>
        <v>Aug</v>
      </c>
      <c r="H1332" s="3" t="str">
        <f t="shared" si="122"/>
        <v>Q3</v>
      </c>
      <c r="I1332" s="3">
        <f t="shared" si="123"/>
        <v>5.2483177346299859E-3</v>
      </c>
      <c r="J1332" s="3">
        <f t="shared" si="124"/>
        <v>-6.8786008150104137E-3</v>
      </c>
      <c r="K1332" s="3" t="str">
        <f t="shared" si="125"/>
        <v>Normal</v>
      </c>
      <c r="L1332" s="4">
        <f>VALUE(A1332)</f>
        <v>43322</v>
      </c>
    </row>
    <row r="1333" spans="1:12">
      <c r="A1333" s="5">
        <v>43325</v>
      </c>
      <c r="B1333" s="3">
        <v>1896.1999510000001</v>
      </c>
      <c r="C1333" s="3">
        <v>286.64767499999999</v>
      </c>
      <c r="D1333" s="3">
        <v>6199.6000979999999</v>
      </c>
      <c r="E1333" s="3">
        <v>341.30999800000001</v>
      </c>
      <c r="F1333" s="3">
        <f t="shared" si="120"/>
        <v>2018</v>
      </c>
      <c r="G1333" s="3" t="str">
        <f t="shared" si="121"/>
        <v>Aug</v>
      </c>
      <c r="H1333" s="3" t="str">
        <f t="shared" si="122"/>
        <v>Q3</v>
      </c>
      <c r="I1333" s="3">
        <f t="shared" si="123"/>
        <v>1.2366877758663108E-2</v>
      </c>
      <c r="J1333" s="3">
        <f t="shared" si="124"/>
        <v>1.2036279085819253E-2</v>
      </c>
      <c r="K1333" s="3" t="str">
        <f t="shared" si="125"/>
        <v>Normal</v>
      </c>
      <c r="L1333" s="4">
        <f>VALUE(A1333)</f>
        <v>43325</v>
      </c>
    </row>
    <row r="1334" spans="1:12">
      <c r="A1334" s="5">
        <v>43326</v>
      </c>
      <c r="B1334" s="3">
        <v>1919.650024</v>
      </c>
      <c r="C1334" s="3">
        <v>285.56503300000003</v>
      </c>
      <c r="D1334" s="3">
        <v>6274.2202150000003</v>
      </c>
      <c r="E1334" s="3">
        <v>337.48998999999998</v>
      </c>
      <c r="F1334" s="3">
        <f t="shared" si="120"/>
        <v>2018</v>
      </c>
      <c r="G1334" s="3" t="str">
        <f t="shared" si="121"/>
        <v>Aug</v>
      </c>
      <c r="H1334" s="3" t="str">
        <f t="shared" si="122"/>
        <v>Q3</v>
      </c>
      <c r="I1334" s="3">
        <f t="shared" si="123"/>
        <v>-1.9289989600729435E-2</v>
      </c>
      <c r="J1334" s="3">
        <f t="shared" si="124"/>
        <v>7.9037461709494817E-3</v>
      </c>
      <c r="K1334" s="3" t="str">
        <f t="shared" si="125"/>
        <v>Normal</v>
      </c>
      <c r="L1334" s="4">
        <f>VALUE(A1334)</f>
        <v>43326</v>
      </c>
    </row>
    <row r="1335" spans="1:12">
      <c r="A1335" s="5">
        <v>43327</v>
      </c>
      <c r="B1335" s="3">
        <v>1882.619995</v>
      </c>
      <c r="C1335" s="3">
        <v>282.26745599999998</v>
      </c>
      <c r="D1335" s="3">
        <v>6323.8100590000004</v>
      </c>
      <c r="E1335" s="3">
        <v>326.39999399999999</v>
      </c>
      <c r="F1335" s="3">
        <f t="shared" si="120"/>
        <v>2018</v>
      </c>
      <c r="G1335" s="3" t="str">
        <f t="shared" si="121"/>
        <v>Aug</v>
      </c>
      <c r="H1335" s="3" t="str">
        <f t="shared" si="122"/>
        <v>Q3</v>
      </c>
      <c r="I1335" s="3">
        <f t="shared" si="123"/>
        <v>2.0715943793000635E-3</v>
      </c>
      <c r="J1335" s="3">
        <f t="shared" si="124"/>
        <v>4.2276743688642079E-2</v>
      </c>
      <c r="K1335" s="3" t="str">
        <f t="shared" si="125"/>
        <v>Normal</v>
      </c>
      <c r="L1335" s="4">
        <f>VALUE(A1335)</f>
        <v>43327</v>
      </c>
    </row>
    <row r="1336" spans="1:12">
      <c r="A1336" s="5">
        <v>43328</v>
      </c>
      <c r="B1336" s="3">
        <v>1886.5200199999999</v>
      </c>
      <c r="C1336" s="3">
        <v>285.77362099999999</v>
      </c>
      <c r="D1336" s="3">
        <v>6591.1601559999999</v>
      </c>
      <c r="E1336" s="3">
        <v>322.44000199999999</v>
      </c>
      <c r="F1336" s="3">
        <f t="shared" si="120"/>
        <v>2018</v>
      </c>
      <c r="G1336" s="3" t="str">
        <f t="shared" si="121"/>
        <v>Aug</v>
      </c>
      <c r="H1336" s="3" t="str">
        <f t="shared" si="122"/>
        <v>Q3</v>
      </c>
      <c r="I1336" s="3">
        <f t="shared" si="123"/>
        <v>-2.2793550847130394E-3</v>
      </c>
      <c r="J1336" s="3">
        <f t="shared" si="124"/>
        <v>-2.8136199183566062E-2</v>
      </c>
      <c r="K1336" s="3" t="str">
        <f t="shared" si="125"/>
        <v>Normal</v>
      </c>
      <c r="L1336" s="4">
        <f>VALUE(A1336)</f>
        <v>43328</v>
      </c>
    </row>
    <row r="1337" spans="1:12">
      <c r="A1337" s="5">
        <v>43329</v>
      </c>
      <c r="B1337" s="3">
        <v>1882.219971</v>
      </c>
      <c r="C1337" s="3">
        <v>283.11172499999998</v>
      </c>
      <c r="D1337" s="3">
        <v>6405.7099609999996</v>
      </c>
      <c r="E1337" s="3">
        <v>316.77999899999998</v>
      </c>
      <c r="F1337" s="3">
        <f t="shared" si="120"/>
        <v>2018</v>
      </c>
      <c r="G1337" s="3" t="str">
        <f t="shared" si="121"/>
        <v>Aug</v>
      </c>
      <c r="H1337" s="3" t="str">
        <f t="shared" si="122"/>
        <v>Q3</v>
      </c>
      <c r="I1337" s="3">
        <f t="shared" si="123"/>
        <v>-2.9273996051973491E-3</v>
      </c>
      <c r="J1337" s="3">
        <f t="shared" si="124"/>
        <v>1.3331840267502258E-2</v>
      </c>
      <c r="K1337" s="3" t="str">
        <f t="shared" si="125"/>
        <v>Normal</v>
      </c>
      <c r="L1337" s="4">
        <f>VALUE(A1337)</f>
        <v>43329</v>
      </c>
    </row>
    <row r="1338" spans="1:12">
      <c r="A1338" s="5">
        <v>43332</v>
      </c>
      <c r="B1338" s="3">
        <v>1876.709961</v>
      </c>
      <c r="C1338" s="3">
        <v>282.823669</v>
      </c>
      <c r="D1338" s="3">
        <v>6491.1098629999997</v>
      </c>
      <c r="E1338" s="3">
        <v>327.73001099999999</v>
      </c>
      <c r="F1338" s="3">
        <f t="shared" si="120"/>
        <v>2018</v>
      </c>
      <c r="G1338" s="3" t="str">
        <f t="shared" si="121"/>
        <v>Aug</v>
      </c>
      <c r="H1338" s="3" t="str">
        <f t="shared" si="122"/>
        <v>Q3</v>
      </c>
      <c r="I1338" s="3">
        <f t="shared" si="123"/>
        <v>3.5754501971228896E-3</v>
      </c>
      <c r="J1338" s="3">
        <f t="shared" si="124"/>
        <v>-1.9254023216029502E-2</v>
      </c>
      <c r="K1338" s="3" t="str">
        <f t="shared" si="125"/>
        <v>Normal</v>
      </c>
      <c r="L1338" s="4">
        <f>VALUE(A1338)</f>
        <v>43332</v>
      </c>
    </row>
    <row r="1339" spans="1:12">
      <c r="A1339" s="5">
        <v>43333</v>
      </c>
      <c r="B1339" s="3">
        <v>1883.420044</v>
      </c>
      <c r="C1339" s="3">
        <v>285.42596400000002</v>
      </c>
      <c r="D1339" s="3">
        <v>6366.1298829999996</v>
      </c>
      <c r="E1339" s="3">
        <v>338.01998900000001</v>
      </c>
      <c r="F1339" s="3">
        <f t="shared" si="120"/>
        <v>2018</v>
      </c>
      <c r="G1339" s="3" t="str">
        <f t="shared" si="121"/>
        <v>Aug</v>
      </c>
      <c r="H1339" s="3" t="str">
        <f t="shared" si="122"/>
        <v>Q3</v>
      </c>
      <c r="I1339" s="3">
        <f t="shared" si="123"/>
        <v>1.1404774027136811E-2</v>
      </c>
      <c r="J1339" s="3">
        <f t="shared" si="124"/>
        <v>2.714684041579124E-2</v>
      </c>
      <c r="K1339" s="3" t="str">
        <f t="shared" si="125"/>
        <v>Normal</v>
      </c>
      <c r="L1339" s="4">
        <f>VALUE(A1339)</f>
        <v>43333</v>
      </c>
    </row>
    <row r="1340" spans="1:12">
      <c r="A1340" s="5">
        <v>43334</v>
      </c>
      <c r="B1340" s="3">
        <v>1904.900024</v>
      </c>
      <c r="C1340" s="3">
        <v>289.56774899999999</v>
      </c>
      <c r="D1340" s="3">
        <v>6538.9501950000003</v>
      </c>
      <c r="E1340" s="3">
        <v>344.44000199999999</v>
      </c>
      <c r="F1340" s="3">
        <f t="shared" si="120"/>
        <v>2018</v>
      </c>
      <c r="G1340" s="3" t="str">
        <f t="shared" si="121"/>
        <v>Aug</v>
      </c>
      <c r="H1340" s="3" t="str">
        <f t="shared" si="122"/>
        <v>Q3</v>
      </c>
      <c r="I1340" s="3">
        <f t="shared" si="123"/>
        <v>-1.0499238672905806E-3</v>
      </c>
      <c r="J1340" s="3">
        <f t="shared" si="124"/>
        <v>2.5999550528767901E-2</v>
      </c>
      <c r="K1340" s="3" t="str">
        <f t="shared" si="125"/>
        <v>Normal</v>
      </c>
      <c r="L1340" s="4">
        <f>VALUE(A1340)</f>
        <v>43334</v>
      </c>
    </row>
    <row r="1341" spans="1:12">
      <c r="A1341" s="5">
        <v>43335</v>
      </c>
      <c r="B1341" s="3">
        <v>1902.900024</v>
      </c>
      <c r="C1341" s="3">
        <v>287.44223</v>
      </c>
      <c r="D1341" s="3">
        <v>6708.9599609999996</v>
      </c>
      <c r="E1341" s="3">
        <v>339.17001299999998</v>
      </c>
      <c r="F1341" s="3">
        <f t="shared" si="120"/>
        <v>2018</v>
      </c>
      <c r="G1341" s="3" t="str">
        <f t="shared" si="121"/>
        <v>Aug</v>
      </c>
      <c r="H1341" s="3" t="str">
        <f t="shared" si="122"/>
        <v>Q3</v>
      </c>
      <c r="I1341" s="3">
        <f t="shared" si="123"/>
        <v>1.3085243410559326E-3</v>
      </c>
      <c r="J1341" s="3">
        <f t="shared" si="124"/>
        <v>6.0516232375828899E-3</v>
      </c>
      <c r="K1341" s="3" t="str">
        <f t="shared" si="125"/>
        <v>Normal</v>
      </c>
      <c r="L1341" s="4">
        <f>VALUE(A1341)</f>
        <v>43335</v>
      </c>
    </row>
    <row r="1342" spans="1:12">
      <c r="A1342" s="5">
        <v>43336</v>
      </c>
      <c r="B1342" s="3">
        <v>1905.3900149999999</v>
      </c>
      <c r="C1342" s="3">
        <v>295.93441799999999</v>
      </c>
      <c r="D1342" s="3">
        <v>6749.5600590000004</v>
      </c>
      <c r="E1342" s="3">
        <v>358.82000699999998</v>
      </c>
      <c r="F1342" s="3">
        <f t="shared" si="120"/>
        <v>2018</v>
      </c>
      <c r="G1342" s="3" t="str">
        <f t="shared" si="121"/>
        <v>Aug</v>
      </c>
      <c r="H1342" s="3" t="str">
        <f t="shared" si="122"/>
        <v>Q3</v>
      </c>
      <c r="I1342" s="3">
        <f t="shared" si="123"/>
        <v>1.1698412831243886E-2</v>
      </c>
      <c r="J1342" s="3">
        <f t="shared" si="124"/>
        <v>5.0643274674504121E-2</v>
      </c>
      <c r="K1342" s="3" t="str">
        <f t="shared" si="125"/>
        <v>High Volatility</v>
      </c>
      <c r="L1342" s="4">
        <f>VALUE(A1342)</f>
        <v>43336</v>
      </c>
    </row>
    <row r="1343" spans="1:12">
      <c r="A1343" s="5">
        <v>43339</v>
      </c>
      <c r="B1343" s="3">
        <v>1927.6800539999999</v>
      </c>
      <c r="C1343" s="3">
        <v>295.87481700000001</v>
      </c>
      <c r="D1343" s="3">
        <v>7091.3798829999996</v>
      </c>
      <c r="E1343" s="3">
        <v>364.57998700000002</v>
      </c>
      <c r="F1343" s="3">
        <f t="shared" si="120"/>
        <v>2018</v>
      </c>
      <c r="G1343" s="3" t="str">
        <f t="shared" si="121"/>
        <v>Aug</v>
      </c>
      <c r="H1343" s="3" t="str">
        <f t="shared" si="122"/>
        <v>Q3</v>
      </c>
      <c r="I1343" s="3">
        <f t="shared" si="123"/>
        <v>2.6663615620936159E-3</v>
      </c>
      <c r="J1343" s="3">
        <f t="shared" si="124"/>
        <v>-5.5532045454798002E-3</v>
      </c>
      <c r="K1343" s="3" t="str">
        <f t="shared" si="125"/>
        <v>Normal</v>
      </c>
      <c r="L1343" s="4">
        <f>VALUE(A1343)</f>
        <v>43339</v>
      </c>
    </row>
    <row r="1344" spans="1:12">
      <c r="A1344" s="5">
        <v>43340</v>
      </c>
      <c r="B1344" s="3">
        <v>1932.8199460000001</v>
      </c>
      <c r="C1344" s="3">
        <v>297.404358</v>
      </c>
      <c r="D1344" s="3">
        <v>7052</v>
      </c>
      <c r="E1344" s="3">
        <v>368.48998999999998</v>
      </c>
      <c r="F1344" s="3">
        <f t="shared" si="120"/>
        <v>2018</v>
      </c>
      <c r="G1344" s="3" t="str">
        <f t="shared" si="121"/>
        <v>Aug</v>
      </c>
      <c r="H1344" s="3" t="str">
        <f t="shared" si="122"/>
        <v>Q3</v>
      </c>
      <c r="I1344" s="3">
        <f t="shared" si="123"/>
        <v>3.3774501414421919E-2</v>
      </c>
      <c r="J1344" s="3">
        <f t="shared" si="124"/>
        <v>-7.5496644923425801E-3</v>
      </c>
      <c r="K1344" s="3" t="str">
        <f t="shared" si="125"/>
        <v>Normal</v>
      </c>
      <c r="L1344" s="4">
        <f>VALUE(A1344)</f>
        <v>43340</v>
      </c>
    </row>
    <row r="1345" spans="1:12">
      <c r="A1345" s="5">
        <v>43341</v>
      </c>
      <c r="B1345" s="3">
        <v>1998.099976</v>
      </c>
      <c r="C1345" s="3">
        <v>298.60623199999998</v>
      </c>
      <c r="D1345" s="3">
        <v>6998.7597660000001</v>
      </c>
      <c r="E1345" s="3">
        <v>368.040009</v>
      </c>
      <c r="F1345" s="3">
        <f t="shared" si="120"/>
        <v>2018</v>
      </c>
      <c r="G1345" s="3" t="str">
        <f t="shared" si="121"/>
        <v>Aug</v>
      </c>
      <c r="H1345" s="3" t="str">
        <f t="shared" si="122"/>
        <v>Q3</v>
      </c>
      <c r="I1345" s="3">
        <f t="shared" si="123"/>
        <v>2.1420494727036688E-3</v>
      </c>
      <c r="J1345" s="3">
        <f t="shared" si="124"/>
        <v>4.0293131844582079E-3</v>
      </c>
      <c r="K1345" s="3" t="str">
        <f t="shared" si="125"/>
        <v>Normal</v>
      </c>
      <c r="L1345" s="4">
        <f>VALUE(A1345)</f>
        <v>43341</v>
      </c>
    </row>
    <row r="1346" spans="1:12">
      <c r="A1346" s="5">
        <v>43342</v>
      </c>
      <c r="B1346" s="3">
        <v>2002.380005</v>
      </c>
      <c r="C1346" s="3">
        <v>298.635986</v>
      </c>
      <c r="D1346" s="3">
        <v>7026.9599609999996</v>
      </c>
      <c r="E1346" s="3">
        <v>370.98001099999999</v>
      </c>
      <c r="F1346" s="3">
        <f t="shared" si="120"/>
        <v>2018</v>
      </c>
      <c r="G1346" s="3" t="str">
        <f t="shared" si="121"/>
        <v>Aug</v>
      </c>
      <c r="H1346" s="3" t="str">
        <f t="shared" si="122"/>
        <v>Q3</v>
      </c>
      <c r="I1346" s="3">
        <f t="shared" si="123"/>
        <v>5.1588389687301332E-3</v>
      </c>
      <c r="J1346" s="3">
        <f t="shared" si="124"/>
        <v>2.5117547414470035E-2</v>
      </c>
      <c r="K1346" s="3" t="str">
        <f t="shared" si="125"/>
        <v>Normal</v>
      </c>
      <c r="L1346" s="4">
        <f>VALUE(A1346)</f>
        <v>43342</v>
      </c>
    </row>
    <row r="1347" spans="1:12">
      <c r="A1347" s="5">
        <v>43343</v>
      </c>
      <c r="B1347" s="3">
        <v>2012.709961</v>
      </c>
      <c r="C1347" s="3">
        <v>296.54028299999999</v>
      </c>
      <c r="D1347" s="3">
        <v>7203.4599609999996</v>
      </c>
      <c r="E1347" s="3">
        <v>367.67999300000002</v>
      </c>
      <c r="F1347" s="3">
        <f t="shared" ref="F1347:F1410" si="126">YEAR(A1347)</f>
        <v>2018</v>
      </c>
      <c r="G1347" s="3" t="str">
        <f t="shared" ref="G1347:G1410" si="127">TEXT(A1347,"MMM")</f>
        <v>Aug</v>
      </c>
      <c r="H1347" s="3" t="str">
        <f t="shared" ref="H1347:H1410" si="128">"Q"&amp;ROUNDUP(MONTH(A1347)/3,0)</f>
        <v>Q3</v>
      </c>
      <c r="I1347" s="3">
        <f t="shared" ref="I1347:I1410" si="129">(B1348-B1347)/B1347</f>
        <v>1.3315405358596495E-2</v>
      </c>
      <c r="J1347" s="3">
        <f t="shared" ref="J1347:J1410" si="130">(D1348-D1347)/D1347</f>
        <v>-6.9193162549460008E-2</v>
      </c>
      <c r="K1347" s="3" t="str">
        <f t="shared" ref="K1347:K1410" si="131">IF(J1347="","",IF(ABS(J1347)&gt;0.05,"High Volatility","Normal"))</f>
        <v>High Volatility</v>
      </c>
      <c r="L1347" s="4">
        <f>VALUE(A1347)</f>
        <v>43343</v>
      </c>
    </row>
    <row r="1348" spans="1:12">
      <c r="A1348" s="5">
        <v>43347</v>
      </c>
      <c r="B1348" s="3">
        <v>2039.51001</v>
      </c>
      <c r="C1348" s="3">
        <v>294.59353599999997</v>
      </c>
      <c r="D1348" s="3">
        <v>6705.0297849999997</v>
      </c>
      <c r="E1348" s="3">
        <v>363.60000600000001</v>
      </c>
      <c r="F1348" s="3">
        <f t="shared" si="126"/>
        <v>2018</v>
      </c>
      <c r="G1348" s="3" t="str">
        <f t="shared" si="127"/>
        <v>Sep</v>
      </c>
      <c r="H1348" s="3" t="str">
        <f t="shared" si="128"/>
        <v>Q3</v>
      </c>
      <c r="I1348" s="3">
        <f t="shared" si="129"/>
        <v>-2.191215722446976E-2</v>
      </c>
      <c r="J1348" s="3">
        <f t="shared" si="130"/>
        <v>-2.8278750293426129E-2</v>
      </c>
      <c r="K1348" s="3" t="str">
        <f t="shared" si="131"/>
        <v>Normal</v>
      </c>
      <c r="L1348" s="4">
        <f>VALUE(A1348)</f>
        <v>43347</v>
      </c>
    </row>
    <row r="1349" spans="1:12">
      <c r="A1349" s="5">
        <v>43348</v>
      </c>
      <c r="B1349" s="3">
        <v>1994.8199460000001</v>
      </c>
      <c r="C1349" s="3">
        <v>287.84945699999997</v>
      </c>
      <c r="D1349" s="3">
        <v>6515.419922</v>
      </c>
      <c r="E1349" s="3">
        <v>341.17999300000002</v>
      </c>
      <c r="F1349" s="3">
        <f t="shared" si="126"/>
        <v>2018</v>
      </c>
      <c r="G1349" s="3" t="str">
        <f t="shared" si="127"/>
        <v>Sep</v>
      </c>
      <c r="H1349" s="3" t="str">
        <f t="shared" si="128"/>
        <v>Q3</v>
      </c>
      <c r="I1349" s="3">
        <f t="shared" si="129"/>
        <v>-1.8302347073082734E-2</v>
      </c>
      <c r="J1349" s="3">
        <f t="shared" si="130"/>
        <v>-1.5906900589791384E-2</v>
      </c>
      <c r="K1349" s="3" t="str">
        <f t="shared" si="131"/>
        <v>Normal</v>
      </c>
      <c r="L1349" s="4">
        <f>VALUE(A1349)</f>
        <v>43348</v>
      </c>
    </row>
    <row r="1350" spans="1:12">
      <c r="A1350" s="5">
        <v>43349</v>
      </c>
      <c r="B1350" s="3">
        <v>1958.3100589999999</v>
      </c>
      <c r="C1350" s="3">
        <v>288.56460600000003</v>
      </c>
      <c r="D1350" s="3">
        <v>6411.7797849999997</v>
      </c>
      <c r="E1350" s="3">
        <v>346.459991</v>
      </c>
      <c r="F1350" s="3">
        <f t="shared" si="126"/>
        <v>2018</v>
      </c>
      <c r="G1350" s="3" t="str">
        <f t="shared" si="127"/>
        <v>Sep</v>
      </c>
      <c r="H1350" s="3" t="str">
        <f t="shared" si="128"/>
        <v>Q3</v>
      </c>
      <c r="I1350" s="3">
        <f t="shared" si="129"/>
        <v>-3.1864785514027927E-3</v>
      </c>
      <c r="J1350" s="3">
        <f t="shared" si="130"/>
        <v>-3.3004818645685885E-2</v>
      </c>
      <c r="K1350" s="3" t="str">
        <f t="shared" si="131"/>
        <v>Normal</v>
      </c>
      <c r="L1350" s="4">
        <f>VALUE(A1350)</f>
        <v>43349</v>
      </c>
    </row>
    <row r="1351" spans="1:12">
      <c r="A1351" s="5">
        <v>43350</v>
      </c>
      <c r="B1351" s="3">
        <v>1952.0699460000001</v>
      </c>
      <c r="C1351" s="3">
        <v>292.08065800000003</v>
      </c>
      <c r="D1351" s="3">
        <v>6200.1601559999999</v>
      </c>
      <c r="E1351" s="3">
        <v>348.67999300000002</v>
      </c>
      <c r="F1351" s="3">
        <f t="shared" si="126"/>
        <v>2018</v>
      </c>
      <c r="G1351" s="3" t="str">
        <f t="shared" si="127"/>
        <v>Sep</v>
      </c>
      <c r="H1351" s="3" t="str">
        <f t="shared" si="128"/>
        <v>Q3</v>
      </c>
      <c r="I1351" s="3">
        <f t="shared" si="129"/>
        <v>-6.6903012500967559E-3</v>
      </c>
      <c r="J1351" s="3">
        <f t="shared" si="130"/>
        <v>1.5383454717326906E-2</v>
      </c>
      <c r="K1351" s="3" t="str">
        <f t="shared" si="131"/>
        <v>Normal</v>
      </c>
      <c r="L1351" s="4">
        <f>VALUE(A1351)</f>
        <v>43350</v>
      </c>
    </row>
    <row r="1352" spans="1:12">
      <c r="A1352" s="5">
        <v>43353</v>
      </c>
      <c r="B1352" s="3">
        <v>1939.01001</v>
      </c>
      <c r="C1352" s="3">
        <v>291.79260299999999</v>
      </c>
      <c r="D1352" s="3">
        <v>6295.5400390000004</v>
      </c>
      <c r="E1352" s="3">
        <v>348.41000400000001</v>
      </c>
      <c r="F1352" s="3">
        <f t="shared" si="126"/>
        <v>2018</v>
      </c>
      <c r="G1352" s="3" t="str">
        <f t="shared" si="127"/>
        <v>Sep</v>
      </c>
      <c r="H1352" s="3" t="str">
        <f t="shared" si="128"/>
        <v>Q3</v>
      </c>
      <c r="I1352" s="3">
        <f t="shared" si="129"/>
        <v>2.4827109582585428E-2</v>
      </c>
      <c r="J1352" s="3">
        <f t="shared" si="130"/>
        <v>6.6030592677482677E-3</v>
      </c>
      <c r="K1352" s="3" t="str">
        <f t="shared" si="131"/>
        <v>Normal</v>
      </c>
      <c r="L1352" s="4">
        <f>VALUE(A1352)</f>
        <v>43353</v>
      </c>
    </row>
    <row r="1353" spans="1:12">
      <c r="A1353" s="5">
        <v>43354</v>
      </c>
      <c r="B1353" s="3">
        <v>1987.150024</v>
      </c>
      <c r="C1353" s="3">
        <v>284.68103000000002</v>
      </c>
      <c r="D1353" s="3">
        <v>6337.1098629999997</v>
      </c>
      <c r="E1353" s="3">
        <v>355.92999300000002</v>
      </c>
      <c r="F1353" s="3">
        <f t="shared" si="126"/>
        <v>2018</v>
      </c>
      <c r="G1353" s="3" t="str">
        <f t="shared" si="127"/>
        <v>Sep</v>
      </c>
      <c r="H1353" s="3" t="str">
        <f t="shared" si="128"/>
        <v>Q3</v>
      </c>
      <c r="I1353" s="3">
        <f t="shared" si="129"/>
        <v>1.4342027353642674E-3</v>
      </c>
      <c r="J1353" s="3">
        <f t="shared" si="130"/>
        <v>2.4441762940602553E-2</v>
      </c>
      <c r="K1353" s="3" t="str">
        <f t="shared" si="131"/>
        <v>Normal</v>
      </c>
      <c r="L1353" s="4">
        <f>VALUE(A1353)</f>
        <v>43354</v>
      </c>
    </row>
    <row r="1354" spans="1:12">
      <c r="A1354" s="5">
        <v>43355</v>
      </c>
      <c r="B1354" s="3">
        <v>1990</v>
      </c>
      <c r="C1354" s="3">
        <v>283.31036399999999</v>
      </c>
      <c r="D1354" s="3">
        <v>6492</v>
      </c>
      <c r="E1354" s="3">
        <v>369.95001200000002</v>
      </c>
      <c r="F1354" s="3">
        <f t="shared" si="126"/>
        <v>2018</v>
      </c>
      <c r="G1354" s="3" t="str">
        <f t="shared" si="127"/>
        <v>Sep</v>
      </c>
      <c r="H1354" s="3" t="str">
        <f t="shared" si="128"/>
        <v>Q3</v>
      </c>
      <c r="I1354" s="3">
        <f t="shared" si="129"/>
        <v>-6.5329145728634588E-5</v>
      </c>
      <c r="J1354" s="3">
        <f t="shared" si="130"/>
        <v>-9.2271010474428115E-4</v>
      </c>
      <c r="K1354" s="3" t="str">
        <f t="shared" si="131"/>
        <v>Normal</v>
      </c>
      <c r="L1354" s="4">
        <f>VALUE(A1354)</f>
        <v>43355</v>
      </c>
    </row>
    <row r="1355" spans="1:12">
      <c r="A1355" s="5">
        <v>43356</v>
      </c>
      <c r="B1355" s="3">
        <v>1989.869995</v>
      </c>
      <c r="C1355" s="3">
        <v>283.459656</v>
      </c>
      <c r="D1355" s="3">
        <v>6486.0097660000001</v>
      </c>
      <c r="E1355" s="3">
        <v>368.14999399999999</v>
      </c>
      <c r="F1355" s="3">
        <f t="shared" si="126"/>
        <v>2018</v>
      </c>
      <c r="G1355" s="3" t="str">
        <f t="shared" si="127"/>
        <v>Sep</v>
      </c>
      <c r="H1355" s="3" t="str">
        <f t="shared" si="128"/>
        <v>Q3</v>
      </c>
      <c r="I1355" s="3">
        <f t="shared" si="129"/>
        <v>-9.8901204849816977E-3</v>
      </c>
      <c r="J1355" s="3">
        <f t="shared" si="130"/>
        <v>5.5612484873338117E-3</v>
      </c>
      <c r="K1355" s="3" t="str">
        <f t="shared" si="131"/>
        <v>Normal</v>
      </c>
      <c r="L1355" s="4">
        <f>VALUE(A1355)</f>
        <v>43356</v>
      </c>
    </row>
    <row r="1356" spans="1:12">
      <c r="A1356" s="5">
        <v>43357</v>
      </c>
      <c r="B1356" s="3">
        <v>1970.1899410000001</v>
      </c>
      <c r="C1356" s="3">
        <v>278.69284099999999</v>
      </c>
      <c r="D1356" s="3">
        <v>6522.080078</v>
      </c>
      <c r="E1356" s="3">
        <v>364.55999800000001</v>
      </c>
      <c r="F1356" s="3">
        <f t="shared" si="126"/>
        <v>2018</v>
      </c>
      <c r="G1356" s="3" t="str">
        <f t="shared" si="127"/>
        <v>Sep</v>
      </c>
      <c r="H1356" s="3" t="str">
        <f t="shared" si="128"/>
        <v>Q3</v>
      </c>
      <c r="I1356" s="3">
        <f t="shared" si="129"/>
        <v>-3.1550212853309903E-2</v>
      </c>
      <c r="J1356" s="3">
        <f t="shared" si="130"/>
        <v>-2.6930079805745116E-2</v>
      </c>
      <c r="K1356" s="3" t="str">
        <f t="shared" si="131"/>
        <v>Normal</v>
      </c>
      <c r="L1356" s="4">
        <f>VALUE(A1356)</f>
        <v>43357</v>
      </c>
    </row>
    <row r="1357" spans="1:12">
      <c r="A1357" s="5">
        <v>43360</v>
      </c>
      <c r="B1357" s="3">
        <v>1908.030029</v>
      </c>
      <c r="C1357" s="3">
        <v>273.26925699999998</v>
      </c>
      <c r="D1357" s="3">
        <v>6346.4399409999996</v>
      </c>
      <c r="E1357" s="3">
        <v>350.35000600000001</v>
      </c>
      <c r="F1357" s="3">
        <f t="shared" si="126"/>
        <v>2018</v>
      </c>
      <c r="G1357" s="3" t="str">
        <f t="shared" si="127"/>
        <v>Sep</v>
      </c>
      <c r="H1357" s="3" t="str">
        <f t="shared" si="128"/>
        <v>Q3</v>
      </c>
      <c r="I1357" s="3">
        <f t="shared" si="129"/>
        <v>1.7305817779663432E-2</v>
      </c>
      <c r="J1357" s="3">
        <f t="shared" si="130"/>
        <v>8.2502733007428011E-3</v>
      </c>
      <c r="K1357" s="3" t="str">
        <f t="shared" si="131"/>
        <v>Normal</v>
      </c>
      <c r="L1357" s="4">
        <f>VALUE(A1357)</f>
        <v>43360</v>
      </c>
    </row>
    <row r="1358" spans="1:12">
      <c r="A1358" s="5">
        <v>43361</v>
      </c>
      <c r="B1358" s="3">
        <v>1941.0500489999999</v>
      </c>
      <c r="C1358" s="3">
        <v>280.44433600000002</v>
      </c>
      <c r="D1358" s="3">
        <v>6398.7998049999997</v>
      </c>
      <c r="E1358" s="3">
        <v>367.64999399999999</v>
      </c>
      <c r="F1358" s="3">
        <f t="shared" si="126"/>
        <v>2018</v>
      </c>
      <c r="G1358" s="3" t="str">
        <f t="shared" si="127"/>
        <v>Sep</v>
      </c>
      <c r="H1358" s="3" t="str">
        <f t="shared" si="128"/>
        <v>Q3</v>
      </c>
      <c r="I1358" s="3">
        <f t="shared" si="129"/>
        <v>-7.5371601095691187E-3</v>
      </c>
      <c r="J1358" s="3">
        <f t="shared" si="130"/>
        <v>1.6737528952900326E-2</v>
      </c>
      <c r="K1358" s="3" t="str">
        <f t="shared" si="131"/>
        <v>Normal</v>
      </c>
      <c r="L1358" s="4">
        <f>VALUE(A1358)</f>
        <v>43361</v>
      </c>
    </row>
    <row r="1359" spans="1:12">
      <c r="A1359" s="5">
        <v>43362</v>
      </c>
      <c r="B1359" s="3">
        <v>1926.420044</v>
      </c>
      <c r="C1359" s="3">
        <v>278.11569200000002</v>
      </c>
      <c r="D1359" s="3">
        <v>6505.8999020000001</v>
      </c>
      <c r="E1359" s="3">
        <v>366.959991</v>
      </c>
      <c r="F1359" s="3">
        <f t="shared" si="126"/>
        <v>2018</v>
      </c>
      <c r="G1359" s="3" t="str">
        <f t="shared" si="127"/>
        <v>Sep</v>
      </c>
      <c r="H1359" s="3" t="str">
        <f t="shared" si="128"/>
        <v>Q3</v>
      </c>
      <c r="I1359" s="3">
        <f t="shared" si="129"/>
        <v>9.2814674845648482E-3</v>
      </c>
      <c r="J1359" s="3">
        <f t="shared" si="130"/>
        <v>3.9373516478673952E-2</v>
      </c>
      <c r="K1359" s="3" t="str">
        <f t="shared" si="131"/>
        <v>Normal</v>
      </c>
      <c r="L1359" s="4">
        <f>VALUE(A1359)</f>
        <v>43362</v>
      </c>
    </row>
    <row r="1360" spans="1:12">
      <c r="A1360" s="5">
        <v>43363</v>
      </c>
      <c r="B1360" s="3">
        <v>1944.3000489999999</v>
      </c>
      <c r="C1360" s="3">
        <v>281.339966</v>
      </c>
      <c r="D1360" s="3">
        <v>6762.0600590000004</v>
      </c>
      <c r="E1360" s="3">
        <v>365.35998499999999</v>
      </c>
      <c r="F1360" s="3">
        <f t="shared" si="126"/>
        <v>2018</v>
      </c>
      <c r="G1360" s="3" t="str">
        <f t="shared" si="127"/>
        <v>Sep</v>
      </c>
      <c r="H1360" s="3" t="str">
        <f t="shared" si="128"/>
        <v>Q3</v>
      </c>
      <c r="I1360" s="3">
        <f t="shared" si="129"/>
        <v>-1.5064567331088916E-2</v>
      </c>
      <c r="J1360" s="3">
        <f t="shared" si="130"/>
        <v>-6.7227975799320642E-3</v>
      </c>
      <c r="K1360" s="3" t="str">
        <f t="shared" si="131"/>
        <v>Normal</v>
      </c>
      <c r="L1360" s="4">
        <f>VALUE(A1360)</f>
        <v>43363</v>
      </c>
    </row>
    <row r="1361" spans="1:12">
      <c r="A1361" s="5">
        <v>43364</v>
      </c>
      <c r="B1361" s="3">
        <v>1915.01001</v>
      </c>
      <c r="C1361" s="3">
        <v>284.83297700000003</v>
      </c>
      <c r="D1361" s="3">
        <v>6716.6000979999999</v>
      </c>
      <c r="E1361" s="3">
        <v>361.19000199999999</v>
      </c>
      <c r="F1361" s="3">
        <f t="shared" si="126"/>
        <v>2018</v>
      </c>
      <c r="G1361" s="3" t="str">
        <f t="shared" si="127"/>
        <v>Sep</v>
      </c>
      <c r="H1361" s="3" t="str">
        <f t="shared" si="128"/>
        <v>Q3</v>
      </c>
      <c r="I1361" s="3">
        <f t="shared" si="129"/>
        <v>1.0104372770354388E-2</v>
      </c>
      <c r="J1361" s="3">
        <f t="shared" si="130"/>
        <v>-4.1518009101514923E-2</v>
      </c>
      <c r="K1361" s="3" t="str">
        <f t="shared" si="131"/>
        <v>Normal</v>
      </c>
      <c r="L1361" s="4">
        <f>VALUE(A1361)</f>
        <v>43364</v>
      </c>
    </row>
    <row r="1362" spans="1:12">
      <c r="A1362" s="5">
        <v>43367</v>
      </c>
      <c r="B1362" s="3">
        <v>1934.3599850000001</v>
      </c>
      <c r="C1362" s="3">
        <v>287.58950800000002</v>
      </c>
      <c r="D1362" s="3">
        <v>6437.7402339999999</v>
      </c>
      <c r="E1362" s="3">
        <v>369.60998499999999</v>
      </c>
      <c r="F1362" s="3">
        <f t="shared" si="126"/>
        <v>2018</v>
      </c>
      <c r="G1362" s="3" t="str">
        <f t="shared" si="127"/>
        <v>Sep</v>
      </c>
      <c r="H1362" s="3" t="str">
        <f t="shared" si="128"/>
        <v>Q3</v>
      </c>
      <c r="I1362" s="3">
        <f t="shared" si="129"/>
        <v>2.0776931032307253E-2</v>
      </c>
      <c r="J1362" s="3">
        <f t="shared" si="130"/>
        <v>3.8615823404470743E-3</v>
      </c>
      <c r="K1362" s="3" t="str">
        <f t="shared" si="131"/>
        <v>Normal</v>
      </c>
      <c r="L1362" s="4">
        <f>VALUE(A1362)</f>
        <v>43367</v>
      </c>
    </row>
    <row r="1363" spans="1:12">
      <c r="A1363" s="5">
        <v>43368</v>
      </c>
      <c r="B1363" s="3">
        <v>1974.5500489999999</v>
      </c>
      <c r="C1363" s="3">
        <v>289.38082900000001</v>
      </c>
      <c r="D1363" s="3">
        <v>6462.6000979999999</v>
      </c>
      <c r="E1363" s="3">
        <v>369.42999300000002</v>
      </c>
      <c r="F1363" s="3">
        <f t="shared" si="126"/>
        <v>2018</v>
      </c>
      <c r="G1363" s="3" t="str">
        <f t="shared" si="127"/>
        <v>Sep</v>
      </c>
      <c r="H1363" s="3" t="str">
        <f t="shared" si="128"/>
        <v>Q3</v>
      </c>
      <c r="I1363" s="3">
        <f t="shared" si="129"/>
        <v>1.518963776845877E-4</v>
      </c>
      <c r="J1363" s="3">
        <f t="shared" si="130"/>
        <v>3.4588212423847201E-2</v>
      </c>
      <c r="K1363" s="3" t="str">
        <f t="shared" si="131"/>
        <v>Normal</v>
      </c>
      <c r="L1363" s="4">
        <f>VALUE(A1363)</f>
        <v>43368</v>
      </c>
    </row>
    <row r="1364" spans="1:12">
      <c r="A1364" s="5">
        <v>43369</v>
      </c>
      <c r="B1364" s="3">
        <v>1974.849976</v>
      </c>
      <c r="C1364" s="3">
        <v>287.77862499999998</v>
      </c>
      <c r="D1364" s="3">
        <v>6686.1298829999996</v>
      </c>
      <c r="E1364" s="3">
        <v>377.88000499999998</v>
      </c>
      <c r="F1364" s="3">
        <f t="shared" si="126"/>
        <v>2018</v>
      </c>
      <c r="G1364" s="3" t="str">
        <f t="shared" si="127"/>
        <v>Sep</v>
      </c>
      <c r="H1364" s="3" t="str">
        <f t="shared" si="128"/>
        <v>Q3</v>
      </c>
      <c r="I1364" s="3">
        <f t="shared" si="129"/>
        <v>1.93077977888889E-2</v>
      </c>
      <c r="J1364" s="3">
        <f t="shared" si="130"/>
        <v>-7.590340135185795E-3</v>
      </c>
      <c r="K1364" s="3" t="str">
        <f t="shared" si="131"/>
        <v>Normal</v>
      </c>
      <c r="L1364" s="4">
        <f>VALUE(A1364)</f>
        <v>43369</v>
      </c>
    </row>
    <row r="1365" spans="1:12">
      <c r="A1365" s="5">
        <v>43370</v>
      </c>
      <c r="B1365" s="3">
        <v>2012.9799800000001</v>
      </c>
      <c r="C1365" s="3">
        <v>292.02792399999998</v>
      </c>
      <c r="D1365" s="3">
        <v>6635.3798829999996</v>
      </c>
      <c r="E1365" s="3">
        <v>380.709991</v>
      </c>
      <c r="F1365" s="3">
        <f t="shared" si="126"/>
        <v>2018</v>
      </c>
      <c r="G1365" s="3" t="str">
        <f t="shared" si="127"/>
        <v>Sep</v>
      </c>
      <c r="H1365" s="3" t="str">
        <f t="shared" si="128"/>
        <v>Q3</v>
      </c>
      <c r="I1365" s="3">
        <f t="shared" si="129"/>
        <v>-4.9578138377710385E-3</v>
      </c>
      <c r="J1365" s="3">
        <f t="shared" si="130"/>
        <v>-4.7668533765543881E-3</v>
      </c>
      <c r="K1365" s="3" t="str">
        <f t="shared" si="131"/>
        <v>Normal</v>
      </c>
      <c r="L1365" s="4">
        <f>VALUE(A1365)</f>
        <v>43370</v>
      </c>
    </row>
    <row r="1366" spans="1:12">
      <c r="A1366" s="5">
        <v>43371</v>
      </c>
      <c r="B1366" s="3">
        <v>2003</v>
      </c>
      <c r="C1366" s="3">
        <v>293.37136800000002</v>
      </c>
      <c r="D1366" s="3">
        <v>6603.75</v>
      </c>
      <c r="E1366" s="3">
        <v>374.13000499999998</v>
      </c>
      <c r="F1366" s="3">
        <f t="shared" si="126"/>
        <v>2018</v>
      </c>
      <c r="G1366" s="3" t="str">
        <f t="shared" si="127"/>
        <v>Sep</v>
      </c>
      <c r="H1366" s="3" t="str">
        <f t="shared" si="128"/>
        <v>Q3</v>
      </c>
      <c r="I1366" s="3">
        <f t="shared" si="129"/>
        <v>6.7897403894161333E-4</v>
      </c>
      <c r="J1366" s="3">
        <f t="shared" si="130"/>
        <v>-1.1853838349422633E-2</v>
      </c>
      <c r="K1366" s="3" t="str">
        <f t="shared" si="131"/>
        <v>Normal</v>
      </c>
      <c r="L1366" s="4">
        <f>VALUE(A1366)</f>
        <v>43371</v>
      </c>
    </row>
    <row r="1367" spans="1:12">
      <c r="A1367" s="5">
        <v>43374</v>
      </c>
      <c r="B1367" s="3">
        <v>2004.3599850000001</v>
      </c>
      <c r="C1367" s="3">
        <v>284.13635299999999</v>
      </c>
      <c r="D1367" s="3">
        <v>6525.4702150000003</v>
      </c>
      <c r="E1367" s="3">
        <v>381.42999300000002</v>
      </c>
      <c r="F1367" s="3">
        <f t="shared" si="126"/>
        <v>2018</v>
      </c>
      <c r="G1367" s="3" t="str">
        <f t="shared" si="127"/>
        <v>Oct</v>
      </c>
      <c r="H1367" s="3" t="str">
        <f t="shared" si="128"/>
        <v>Q4</v>
      </c>
      <c r="I1367" s="3">
        <f t="shared" si="129"/>
        <v>-1.6489017066462809E-2</v>
      </c>
      <c r="J1367" s="3">
        <f t="shared" si="130"/>
        <v>-5.0893572272630704E-3</v>
      </c>
      <c r="K1367" s="3" t="str">
        <f t="shared" si="131"/>
        <v>Normal</v>
      </c>
      <c r="L1367" s="4">
        <f>VALUE(A1367)</f>
        <v>43374</v>
      </c>
    </row>
    <row r="1368" spans="1:12">
      <c r="A1368" s="5">
        <v>43375</v>
      </c>
      <c r="B1368" s="3">
        <v>1971.3100589999999</v>
      </c>
      <c r="C1368" s="3">
        <v>280.91207900000001</v>
      </c>
      <c r="D1368" s="3">
        <v>6492.2597660000001</v>
      </c>
      <c r="E1368" s="3">
        <v>377.14001500000001</v>
      </c>
      <c r="F1368" s="3">
        <f t="shared" si="126"/>
        <v>2018</v>
      </c>
      <c r="G1368" s="3" t="str">
        <f t="shared" si="127"/>
        <v>Oct</v>
      </c>
      <c r="H1368" s="3" t="str">
        <f t="shared" si="128"/>
        <v>Q4</v>
      </c>
      <c r="I1368" s="3">
        <f t="shared" si="129"/>
        <v>-9.410010827728417E-3</v>
      </c>
      <c r="J1368" s="3">
        <f t="shared" si="130"/>
        <v>1.3482250580667893E-2</v>
      </c>
      <c r="K1368" s="3" t="str">
        <f t="shared" si="131"/>
        <v>Normal</v>
      </c>
      <c r="L1368" s="4">
        <f>VALUE(A1368)</f>
        <v>43375</v>
      </c>
    </row>
    <row r="1369" spans="1:12">
      <c r="A1369" s="5">
        <v>43376</v>
      </c>
      <c r="B1369" s="3">
        <v>1952.76001</v>
      </c>
      <c r="C1369" s="3">
        <v>284.61404399999998</v>
      </c>
      <c r="D1369" s="3">
        <v>6579.7900390000004</v>
      </c>
      <c r="E1369" s="3">
        <v>377.04998799999998</v>
      </c>
      <c r="F1369" s="3">
        <f t="shared" si="126"/>
        <v>2018</v>
      </c>
      <c r="G1369" s="3" t="str">
        <f t="shared" si="127"/>
        <v>Oct</v>
      </c>
      <c r="H1369" s="3" t="str">
        <f t="shared" si="128"/>
        <v>Q4</v>
      </c>
      <c r="I1369" s="3">
        <f t="shared" si="129"/>
        <v>-2.2194210132355181E-2</v>
      </c>
      <c r="J1369" s="3">
        <f t="shared" si="130"/>
        <v>8.0671385690700686E-3</v>
      </c>
      <c r="K1369" s="3" t="str">
        <f t="shared" si="131"/>
        <v>Normal</v>
      </c>
      <c r="L1369" s="4">
        <f>VALUE(A1369)</f>
        <v>43376</v>
      </c>
    </row>
    <row r="1370" spans="1:12">
      <c r="A1370" s="5">
        <v>43377</v>
      </c>
      <c r="B1370" s="3">
        <v>1909.420044</v>
      </c>
      <c r="C1370" s="3">
        <v>280.40451000000002</v>
      </c>
      <c r="D1370" s="3">
        <v>6632.8701170000004</v>
      </c>
      <c r="E1370" s="3">
        <v>363.64999399999999</v>
      </c>
      <c r="F1370" s="3">
        <f t="shared" si="126"/>
        <v>2018</v>
      </c>
      <c r="G1370" s="3" t="str">
        <f t="shared" si="127"/>
        <v>Oct</v>
      </c>
      <c r="H1370" s="3" t="str">
        <f t="shared" si="128"/>
        <v>Q4</v>
      </c>
      <c r="I1370" s="3">
        <f t="shared" si="129"/>
        <v>-1.0353939701284466E-2</v>
      </c>
      <c r="J1370" s="3">
        <f t="shared" si="130"/>
        <v>-6.4723378029023981E-3</v>
      </c>
      <c r="K1370" s="3" t="str">
        <f t="shared" si="131"/>
        <v>Normal</v>
      </c>
      <c r="L1370" s="4">
        <f>VALUE(A1370)</f>
        <v>43377</v>
      </c>
    </row>
    <row r="1371" spans="1:12">
      <c r="A1371" s="5">
        <v>43378</v>
      </c>
      <c r="B1371" s="3">
        <v>1889.650024</v>
      </c>
      <c r="C1371" s="3">
        <v>281.53900099999998</v>
      </c>
      <c r="D1371" s="3">
        <v>6589.9399409999996</v>
      </c>
      <c r="E1371" s="3">
        <v>351.35000600000001</v>
      </c>
      <c r="F1371" s="3">
        <f t="shared" si="126"/>
        <v>2018</v>
      </c>
      <c r="G1371" s="3" t="str">
        <f t="shared" si="127"/>
        <v>Oct</v>
      </c>
      <c r="H1371" s="3" t="str">
        <f t="shared" si="128"/>
        <v>Q4</v>
      </c>
      <c r="I1371" s="3">
        <f t="shared" si="129"/>
        <v>-1.3351668128785771E-2</v>
      </c>
      <c r="J1371" s="3">
        <f t="shared" si="130"/>
        <v>6.3506038559814548E-3</v>
      </c>
      <c r="K1371" s="3" t="str">
        <f t="shared" si="131"/>
        <v>Normal</v>
      </c>
      <c r="L1371" s="4">
        <f>VALUE(A1371)</f>
        <v>43378</v>
      </c>
    </row>
    <row r="1372" spans="1:12">
      <c r="A1372" s="5">
        <v>43381</v>
      </c>
      <c r="B1372" s="3">
        <v>1864.420044</v>
      </c>
      <c r="C1372" s="3">
        <v>278.88192700000002</v>
      </c>
      <c r="D1372" s="3">
        <v>6631.7900390000004</v>
      </c>
      <c r="E1372" s="3">
        <v>349.10000600000001</v>
      </c>
      <c r="F1372" s="3">
        <f t="shared" si="126"/>
        <v>2018</v>
      </c>
      <c r="G1372" s="3" t="str">
        <f t="shared" si="127"/>
        <v>Oct</v>
      </c>
      <c r="H1372" s="3" t="str">
        <f t="shared" si="128"/>
        <v>Q4</v>
      </c>
      <c r="I1372" s="3">
        <f t="shared" si="129"/>
        <v>3.1644703772558836E-3</v>
      </c>
      <c r="J1372" s="3">
        <f t="shared" si="130"/>
        <v>-7.6480429419095901E-3</v>
      </c>
      <c r="K1372" s="3" t="str">
        <f t="shared" si="131"/>
        <v>Normal</v>
      </c>
      <c r="L1372" s="4">
        <f>VALUE(A1372)</f>
        <v>43381</v>
      </c>
    </row>
    <row r="1373" spans="1:12">
      <c r="A1373" s="5">
        <v>43382</v>
      </c>
      <c r="B1373" s="3">
        <v>1870.3199460000001</v>
      </c>
      <c r="C1373" s="3">
        <v>282.80285600000002</v>
      </c>
      <c r="D1373" s="3">
        <v>6581.0698240000002</v>
      </c>
      <c r="E1373" s="3">
        <v>355.709991</v>
      </c>
      <c r="F1373" s="3">
        <f t="shared" si="126"/>
        <v>2018</v>
      </c>
      <c r="G1373" s="3" t="str">
        <f t="shared" si="127"/>
        <v>Oct</v>
      </c>
      <c r="H1373" s="3" t="str">
        <f t="shared" si="128"/>
        <v>Q4</v>
      </c>
      <c r="I1373" s="3">
        <f t="shared" si="129"/>
        <v>-6.1524204051877265E-2</v>
      </c>
      <c r="J1373" s="3">
        <f t="shared" si="130"/>
        <v>-5.6464924235394322E-2</v>
      </c>
      <c r="K1373" s="3" t="str">
        <f t="shared" si="131"/>
        <v>High Volatility</v>
      </c>
      <c r="L1373" s="4">
        <f>VALUE(A1373)</f>
        <v>43382</v>
      </c>
    </row>
    <row r="1374" spans="1:12">
      <c r="A1374" s="5">
        <v>43383</v>
      </c>
      <c r="B1374" s="3">
        <v>1755.25</v>
      </c>
      <c r="C1374" s="3">
        <v>273.587738</v>
      </c>
      <c r="D1374" s="3">
        <v>6209.4702150000003</v>
      </c>
      <c r="E1374" s="3">
        <v>325.89001500000001</v>
      </c>
      <c r="F1374" s="3">
        <f t="shared" si="126"/>
        <v>2018</v>
      </c>
      <c r="G1374" s="3" t="str">
        <f t="shared" si="127"/>
        <v>Oct</v>
      </c>
      <c r="H1374" s="3" t="str">
        <f t="shared" si="128"/>
        <v>Q4</v>
      </c>
      <c r="I1374" s="3">
        <f t="shared" si="129"/>
        <v>-2.0447238285144536E-2</v>
      </c>
      <c r="J1374" s="3">
        <f t="shared" si="130"/>
        <v>6.6639957302701402E-3</v>
      </c>
      <c r="K1374" s="3" t="str">
        <f t="shared" si="131"/>
        <v>Normal</v>
      </c>
      <c r="L1374" s="4">
        <f>VALUE(A1374)</f>
        <v>43383</v>
      </c>
    </row>
    <row r="1375" spans="1:12">
      <c r="A1375" s="5">
        <v>43384</v>
      </c>
      <c r="B1375" s="3">
        <v>1719.3599850000001</v>
      </c>
      <c r="C1375" s="3">
        <v>269.56729100000001</v>
      </c>
      <c r="D1375" s="3">
        <v>6250.8500979999999</v>
      </c>
      <c r="E1375" s="3">
        <v>321.10000600000001</v>
      </c>
      <c r="F1375" s="3">
        <f t="shared" si="126"/>
        <v>2018</v>
      </c>
      <c r="G1375" s="3" t="str">
        <f t="shared" si="127"/>
        <v>Oct</v>
      </c>
      <c r="H1375" s="3" t="str">
        <f t="shared" si="128"/>
        <v>Q4</v>
      </c>
      <c r="I1375" s="3">
        <f t="shared" si="129"/>
        <v>4.0276614905633036E-2</v>
      </c>
      <c r="J1375" s="3">
        <f t="shared" si="130"/>
        <v>2.6268302299000423E-3</v>
      </c>
      <c r="K1375" s="3" t="str">
        <f t="shared" si="131"/>
        <v>Normal</v>
      </c>
      <c r="L1375" s="4">
        <f>VALUE(A1375)</f>
        <v>43384</v>
      </c>
    </row>
    <row r="1376" spans="1:12">
      <c r="A1376" s="5">
        <v>43385</v>
      </c>
      <c r="B1376" s="3">
        <v>1788.6099850000001</v>
      </c>
      <c r="C1376" s="3">
        <v>275.99600199999998</v>
      </c>
      <c r="D1376" s="3">
        <v>6267.2700199999999</v>
      </c>
      <c r="E1376" s="3">
        <v>339.55999800000001</v>
      </c>
      <c r="F1376" s="3">
        <f t="shared" si="126"/>
        <v>2018</v>
      </c>
      <c r="G1376" s="3" t="str">
        <f t="shared" si="127"/>
        <v>Oct</v>
      </c>
      <c r="H1376" s="3" t="str">
        <f t="shared" si="128"/>
        <v>Q4</v>
      </c>
      <c r="I1376" s="3">
        <f t="shared" si="129"/>
        <v>-1.5464541868807691E-2</v>
      </c>
      <c r="J1376" s="3">
        <f t="shared" si="130"/>
        <v>5.0385540114322329E-2</v>
      </c>
      <c r="K1376" s="3" t="str">
        <f t="shared" si="131"/>
        <v>High Volatility</v>
      </c>
      <c r="L1376" s="4">
        <f>VALUE(A1376)</f>
        <v>43385</v>
      </c>
    </row>
    <row r="1377" spans="1:12">
      <c r="A1377" s="5">
        <v>43388</v>
      </c>
      <c r="B1377" s="3">
        <v>1760.9499510000001</v>
      </c>
      <c r="C1377" s="3">
        <v>271.61734000000001</v>
      </c>
      <c r="D1377" s="3">
        <v>6583.0498049999997</v>
      </c>
      <c r="E1377" s="3">
        <v>333.13000499999998</v>
      </c>
      <c r="F1377" s="3">
        <f t="shared" si="126"/>
        <v>2018</v>
      </c>
      <c r="G1377" s="3" t="str">
        <f t="shared" si="127"/>
        <v>Oct</v>
      </c>
      <c r="H1377" s="3" t="str">
        <f t="shared" si="128"/>
        <v>Q4</v>
      </c>
      <c r="I1377" s="3">
        <f t="shared" si="129"/>
        <v>3.3510327744686687E-2</v>
      </c>
      <c r="J1377" s="3">
        <f t="shared" si="130"/>
        <v>-1.2957193478197785E-3</v>
      </c>
      <c r="K1377" s="3" t="str">
        <f t="shared" si="131"/>
        <v>Normal</v>
      </c>
      <c r="L1377" s="4">
        <f>VALUE(A1377)</f>
        <v>43388</v>
      </c>
    </row>
    <row r="1378" spans="1:12">
      <c r="A1378" s="5">
        <v>43389</v>
      </c>
      <c r="B1378" s="3">
        <v>1819.959961</v>
      </c>
      <c r="C1378" s="3">
        <v>258.371826</v>
      </c>
      <c r="D1378" s="3">
        <v>6574.5200199999999</v>
      </c>
      <c r="E1378" s="3">
        <v>346.39999399999999</v>
      </c>
      <c r="F1378" s="3">
        <f t="shared" si="126"/>
        <v>2018</v>
      </c>
      <c r="G1378" s="3" t="str">
        <f t="shared" si="127"/>
        <v>Oct</v>
      </c>
      <c r="H1378" s="3" t="str">
        <f t="shared" si="128"/>
        <v>Q4</v>
      </c>
      <c r="I1378" s="3">
        <f t="shared" si="129"/>
        <v>6.4671856811250187E-3</v>
      </c>
      <c r="J1378" s="3">
        <f t="shared" si="130"/>
        <v>-1.3050352685670223E-2</v>
      </c>
      <c r="K1378" s="3" t="str">
        <f t="shared" si="131"/>
        <v>Normal</v>
      </c>
      <c r="L1378" s="4">
        <f>VALUE(A1378)</f>
        <v>43389</v>
      </c>
    </row>
    <row r="1379" spans="1:12">
      <c r="A1379" s="5">
        <v>43390</v>
      </c>
      <c r="B1379" s="3">
        <v>1831.7299800000001</v>
      </c>
      <c r="C1379" s="3">
        <v>266.39276100000001</v>
      </c>
      <c r="D1379" s="3">
        <v>6488.7202150000003</v>
      </c>
      <c r="E1379" s="3">
        <v>364.70001200000002</v>
      </c>
      <c r="F1379" s="3">
        <f t="shared" si="126"/>
        <v>2018</v>
      </c>
      <c r="G1379" s="3" t="str">
        <f t="shared" si="127"/>
        <v>Oct</v>
      </c>
      <c r="H1379" s="3" t="str">
        <f t="shared" si="128"/>
        <v>Q4</v>
      </c>
      <c r="I1379" s="3">
        <f t="shared" si="129"/>
        <v>-3.3307315852307055E-2</v>
      </c>
      <c r="J1379" s="3">
        <f t="shared" si="130"/>
        <v>-2.9960345577946237E-3</v>
      </c>
      <c r="K1379" s="3" t="str">
        <f t="shared" si="131"/>
        <v>Normal</v>
      </c>
      <c r="L1379" s="4">
        <f>VALUE(A1379)</f>
        <v>43390</v>
      </c>
    </row>
    <row r="1380" spans="1:12">
      <c r="A1380" s="5">
        <v>43391</v>
      </c>
      <c r="B1380" s="3">
        <v>1770.719971</v>
      </c>
      <c r="C1380" s="3">
        <v>265.089111</v>
      </c>
      <c r="D1380" s="3">
        <v>6469.2797849999997</v>
      </c>
      <c r="E1380" s="3">
        <v>346.709991</v>
      </c>
      <c r="F1380" s="3">
        <f t="shared" si="126"/>
        <v>2018</v>
      </c>
      <c r="G1380" s="3" t="str">
        <f t="shared" si="127"/>
        <v>Oct</v>
      </c>
      <c r="H1380" s="3" t="str">
        <f t="shared" si="128"/>
        <v>Q4</v>
      </c>
      <c r="I1380" s="3">
        <f t="shared" si="129"/>
        <v>-3.7780914597252114E-3</v>
      </c>
      <c r="J1380" s="3">
        <f t="shared" si="130"/>
        <v>3.2894347913877782E-3</v>
      </c>
      <c r="K1380" s="3" t="str">
        <f t="shared" si="131"/>
        <v>Normal</v>
      </c>
      <c r="L1380" s="4">
        <f>VALUE(A1380)</f>
        <v>43391</v>
      </c>
    </row>
    <row r="1381" spans="1:12">
      <c r="A1381" s="5">
        <v>43392</v>
      </c>
      <c r="B1381" s="3">
        <v>1764.030029</v>
      </c>
      <c r="C1381" s="3">
        <v>266.45248400000003</v>
      </c>
      <c r="D1381" s="3">
        <v>6490.5600590000004</v>
      </c>
      <c r="E1381" s="3">
        <v>332.67001299999998</v>
      </c>
      <c r="F1381" s="3">
        <f t="shared" si="126"/>
        <v>2018</v>
      </c>
      <c r="G1381" s="3" t="str">
        <f t="shared" si="127"/>
        <v>Oct</v>
      </c>
      <c r="H1381" s="3" t="str">
        <f t="shared" si="128"/>
        <v>Q4</v>
      </c>
      <c r="I1381" s="3">
        <f t="shared" si="129"/>
        <v>1.4325164302517625E-2</v>
      </c>
      <c r="J1381" s="3">
        <f t="shared" si="130"/>
        <v>-3.133757921521158E-3</v>
      </c>
      <c r="K1381" s="3" t="str">
        <f t="shared" si="131"/>
        <v>Normal</v>
      </c>
      <c r="L1381" s="4">
        <f>VALUE(A1381)</f>
        <v>43392</v>
      </c>
    </row>
    <row r="1382" spans="1:12">
      <c r="A1382" s="5">
        <v>43395</v>
      </c>
      <c r="B1382" s="3">
        <v>1789.3000489999999</v>
      </c>
      <c r="C1382" s="3">
        <v>266.45248400000003</v>
      </c>
      <c r="D1382" s="3">
        <v>6470.2202150000003</v>
      </c>
      <c r="E1382" s="3">
        <v>329.540009</v>
      </c>
      <c r="F1382" s="3">
        <f t="shared" si="126"/>
        <v>2018</v>
      </c>
      <c r="G1382" s="3" t="str">
        <f t="shared" si="127"/>
        <v>Oct</v>
      </c>
      <c r="H1382" s="3" t="str">
        <f t="shared" si="128"/>
        <v>Q4</v>
      </c>
      <c r="I1382" s="3">
        <f t="shared" si="129"/>
        <v>-1.1512936587417423E-2</v>
      </c>
      <c r="J1382" s="3">
        <f t="shared" si="130"/>
        <v>9.3192886789552948E-4</v>
      </c>
      <c r="K1382" s="3" t="str">
        <f t="shared" si="131"/>
        <v>Normal</v>
      </c>
      <c r="L1382" s="4">
        <f>VALUE(A1382)</f>
        <v>43395</v>
      </c>
    </row>
    <row r="1383" spans="1:12">
      <c r="A1383" s="5">
        <v>43396</v>
      </c>
      <c r="B1383" s="3">
        <v>1768.6999510000001</v>
      </c>
      <c r="C1383" s="3">
        <v>264.53185999999999</v>
      </c>
      <c r="D1383" s="3">
        <v>6476.25</v>
      </c>
      <c r="E1383" s="3">
        <v>333.16000400000001</v>
      </c>
      <c r="F1383" s="3">
        <f t="shared" si="126"/>
        <v>2018</v>
      </c>
      <c r="G1383" s="3" t="str">
        <f t="shared" si="127"/>
        <v>Oct</v>
      </c>
      <c r="H1383" s="3" t="str">
        <f t="shared" si="128"/>
        <v>Q4</v>
      </c>
      <c r="I1383" s="3">
        <f t="shared" si="129"/>
        <v>-5.9082943910818253E-2</v>
      </c>
      <c r="J1383" s="3">
        <f t="shared" si="130"/>
        <v>-2.0814483690407364E-3</v>
      </c>
      <c r="K1383" s="3" t="str">
        <f t="shared" si="131"/>
        <v>Normal</v>
      </c>
      <c r="L1383" s="4">
        <f>VALUE(A1383)</f>
        <v>43396</v>
      </c>
    </row>
    <row r="1384" spans="1:12">
      <c r="A1384" s="5">
        <v>43397</v>
      </c>
      <c r="B1384" s="3">
        <v>1664.1999510000001</v>
      </c>
      <c r="C1384" s="3">
        <v>254.251892</v>
      </c>
      <c r="D1384" s="3">
        <v>6462.7700199999999</v>
      </c>
      <c r="E1384" s="3">
        <v>301.82998700000002</v>
      </c>
      <c r="F1384" s="3">
        <f t="shared" si="126"/>
        <v>2018</v>
      </c>
      <c r="G1384" s="3" t="str">
        <f t="shared" si="127"/>
        <v>Oct</v>
      </c>
      <c r="H1384" s="3" t="str">
        <f t="shared" si="128"/>
        <v>Q4</v>
      </c>
      <c r="I1384" s="3">
        <f t="shared" si="129"/>
        <v>7.0886970600565716E-2</v>
      </c>
      <c r="J1384" s="3">
        <f t="shared" si="130"/>
        <v>-8.603213456140228E-4</v>
      </c>
      <c r="K1384" s="3" t="str">
        <f t="shared" si="131"/>
        <v>Normal</v>
      </c>
      <c r="L1384" s="4">
        <f>VALUE(A1384)</f>
        <v>43397</v>
      </c>
    </row>
    <row r="1385" spans="1:12">
      <c r="A1385" s="5">
        <v>43398</v>
      </c>
      <c r="B1385" s="3">
        <v>1782.170044</v>
      </c>
      <c r="C1385" s="3">
        <v>260.50143400000002</v>
      </c>
      <c r="D1385" s="3">
        <v>6457.2099609999996</v>
      </c>
      <c r="E1385" s="3">
        <v>312.86999500000002</v>
      </c>
      <c r="F1385" s="3">
        <f t="shared" si="126"/>
        <v>2018</v>
      </c>
      <c r="G1385" s="3" t="str">
        <f t="shared" si="127"/>
        <v>Oct</v>
      </c>
      <c r="H1385" s="3" t="str">
        <f t="shared" si="128"/>
        <v>Q4</v>
      </c>
      <c r="I1385" s="3">
        <f t="shared" si="129"/>
        <v>-7.8196794671294589E-2</v>
      </c>
      <c r="J1385" s="3">
        <f t="shared" si="130"/>
        <v>2.0070527485207285E-3</v>
      </c>
      <c r="K1385" s="3" t="str">
        <f t="shared" si="131"/>
        <v>Normal</v>
      </c>
      <c r="L1385" s="4">
        <f>VALUE(A1385)</f>
        <v>43398</v>
      </c>
    </row>
    <row r="1386" spans="1:12">
      <c r="A1386" s="5">
        <v>43399</v>
      </c>
      <c r="B1386" s="3">
        <v>1642.8100589999999</v>
      </c>
      <c r="C1386" s="3">
        <v>259.97399899999999</v>
      </c>
      <c r="D1386" s="3">
        <v>6470.169922</v>
      </c>
      <c r="E1386" s="3">
        <v>299.82998700000002</v>
      </c>
      <c r="F1386" s="3">
        <f t="shared" si="126"/>
        <v>2018</v>
      </c>
      <c r="G1386" s="3" t="str">
        <f t="shared" si="127"/>
        <v>Oct</v>
      </c>
      <c r="H1386" s="3" t="str">
        <f t="shared" si="128"/>
        <v>Q4</v>
      </c>
      <c r="I1386" s="3">
        <f t="shared" si="129"/>
        <v>-6.3263585117845897E-2</v>
      </c>
      <c r="J1386" s="3">
        <f t="shared" si="130"/>
        <v>-2.4150797874516801E-2</v>
      </c>
      <c r="K1386" s="3" t="str">
        <f t="shared" si="131"/>
        <v>Normal</v>
      </c>
      <c r="L1386" s="4">
        <f>VALUE(A1386)</f>
        <v>43399</v>
      </c>
    </row>
    <row r="1387" spans="1:12">
      <c r="A1387" s="5">
        <v>43402</v>
      </c>
      <c r="B1387" s="3">
        <v>1538.880005</v>
      </c>
      <c r="C1387" s="3">
        <v>255.24702500000001</v>
      </c>
      <c r="D1387" s="3">
        <v>6313.9101559999999</v>
      </c>
      <c r="E1387" s="3">
        <v>284.83999599999999</v>
      </c>
      <c r="F1387" s="3">
        <f t="shared" si="126"/>
        <v>2018</v>
      </c>
      <c r="G1387" s="3" t="str">
        <f t="shared" si="127"/>
        <v>Oct</v>
      </c>
      <c r="H1387" s="3" t="str">
        <f t="shared" si="128"/>
        <v>Q4</v>
      </c>
      <c r="I1387" s="3">
        <f t="shared" si="129"/>
        <v>-5.4974793177587754E-3</v>
      </c>
      <c r="J1387" s="3">
        <f t="shared" si="130"/>
        <v>-7.6027261734768305E-4</v>
      </c>
      <c r="K1387" s="3" t="str">
        <f t="shared" si="131"/>
        <v>Normal</v>
      </c>
      <c r="L1387" s="4">
        <f>VALUE(A1387)</f>
        <v>43402</v>
      </c>
    </row>
    <row r="1388" spans="1:12">
      <c r="A1388" s="5">
        <v>43403</v>
      </c>
      <c r="B1388" s="3">
        <v>1530.420044</v>
      </c>
      <c r="C1388" s="3">
        <v>264.93984999999998</v>
      </c>
      <c r="D1388" s="3">
        <v>6309.1098629999997</v>
      </c>
      <c r="E1388" s="3">
        <v>285.80999800000001</v>
      </c>
      <c r="F1388" s="3">
        <f t="shared" si="126"/>
        <v>2018</v>
      </c>
      <c r="G1388" s="3" t="str">
        <f t="shared" si="127"/>
        <v>Oct</v>
      </c>
      <c r="H1388" s="3" t="str">
        <f t="shared" si="128"/>
        <v>Q4</v>
      </c>
      <c r="I1388" s="3">
        <f t="shared" si="129"/>
        <v>4.4164323556128232E-2</v>
      </c>
      <c r="J1388" s="3">
        <f t="shared" si="130"/>
        <v>5.3097823191290338E-3</v>
      </c>
      <c r="K1388" s="3" t="str">
        <f t="shared" si="131"/>
        <v>Normal</v>
      </c>
      <c r="L1388" s="4">
        <f>VALUE(A1388)</f>
        <v>43403</v>
      </c>
    </row>
    <row r="1389" spans="1:12">
      <c r="A1389" s="5">
        <v>43404</v>
      </c>
      <c r="B1389" s="3">
        <v>1598.01001</v>
      </c>
      <c r="C1389" s="3">
        <v>267.48745700000001</v>
      </c>
      <c r="D1389" s="3">
        <v>6342.6098629999997</v>
      </c>
      <c r="E1389" s="3">
        <v>301.77999899999998</v>
      </c>
      <c r="F1389" s="3">
        <f t="shared" si="126"/>
        <v>2018</v>
      </c>
      <c r="G1389" s="3" t="str">
        <f t="shared" si="127"/>
        <v>Oct</v>
      </c>
      <c r="H1389" s="3" t="str">
        <f t="shared" si="128"/>
        <v>Q4</v>
      </c>
      <c r="I1389" s="3">
        <f t="shared" si="129"/>
        <v>4.2252563236446841E-2</v>
      </c>
      <c r="J1389" s="3">
        <f t="shared" si="130"/>
        <v>6.1000034426995269E-3</v>
      </c>
      <c r="K1389" s="3" t="str">
        <f t="shared" si="131"/>
        <v>Normal</v>
      </c>
      <c r="L1389" s="4">
        <f>VALUE(A1389)</f>
        <v>43404</v>
      </c>
    </row>
    <row r="1390" spans="1:12">
      <c r="A1390" s="5">
        <v>43405</v>
      </c>
      <c r="B1390" s="3">
        <v>1665.530029</v>
      </c>
      <c r="C1390" s="3">
        <v>264.76071200000001</v>
      </c>
      <c r="D1390" s="3">
        <v>6381.2998049999997</v>
      </c>
      <c r="E1390" s="3">
        <v>317.38000499999998</v>
      </c>
      <c r="F1390" s="3">
        <f t="shared" si="126"/>
        <v>2018</v>
      </c>
      <c r="G1390" s="3" t="str">
        <f t="shared" si="127"/>
        <v>Nov</v>
      </c>
      <c r="H1390" s="3" t="str">
        <f t="shared" si="128"/>
        <v>Q4</v>
      </c>
      <c r="I1390" s="3">
        <f t="shared" si="129"/>
        <v>0</v>
      </c>
      <c r="J1390" s="3">
        <f t="shared" si="130"/>
        <v>2.0936723564581473E-3</v>
      </c>
      <c r="K1390" s="3" t="str">
        <f t="shared" si="131"/>
        <v>Normal</v>
      </c>
      <c r="L1390" s="4">
        <f>VALUE(A1390)</f>
        <v>43405</v>
      </c>
    </row>
    <row r="1391" spans="1:12">
      <c r="A1391" s="5">
        <v>43406</v>
      </c>
      <c r="B1391" s="3">
        <v>1665.530029</v>
      </c>
      <c r="C1391" s="3">
        <v>264.014343</v>
      </c>
      <c r="D1391" s="3">
        <v>6394.6601559999999</v>
      </c>
      <c r="E1391" s="3">
        <v>309.10000600000001</v>
      </c>
      <c r="F1391" s="3">
        <f t="shared" si="126"/>
        <v>2018</v>
      </c>
      <c r="G1391" s="3" t="str">
        <f t="shared" si="127"/>
        <v>Nov</v>
      </c>
      <c r="H1391" s="3" t="str">
        <f t="shared" si="128"/>
        <v>Q4</v>
      </c>
      <c r="I1391" s="3">
        <f t="shared" si="129"/>
        <v>-2.2653437250034755E-2</v>
      </c>
      <c r="J1391" s="3">
        <f t="shared" si="130"/>
        <v>6.1113612055414381E-3</v>
      </c>
      <c r="K1391" s="3" t="str">
        <f t="shared" si="131"/>
        <v>Normal</v>
      </c>
      <c r="L1391" s="4">
        <f>VALUE(A1391)</f>
        <v>43406</v>
      </c>
    </row>
    <row r="1392" spans="1:12">
      <c r="A1392" s="5">
        <v>43409</v>
      </c>
      <c r="B1392" s="3">
        <v>1627.8000489999999</v>
      </c>
      <c r="C1392" s="3">
        <v>258.99877900000001</v>
      </c>
      <c r="D1392" s="3">
        <v>6433.7402339999999</v>
      </c>
      <c r="E1392" s="3">
        <v>315.44000199999999</v>
      </c>
      <c r="F1392" s="3">
        <f t="shared" si="126"/>
        <v>2018</v>
      </c>
      <c r="G1392" s="3" t="str">
        <f t="shared" si="127"/>
        <v>Nov</v>
      </c>
      <c r="H1392" s="3" t="str">
        <f t="shared" si="128"/>
        <v>Q4</v>
      </c>
      <c r="I1392" s="3">
        <f t="shared" si="129"/>
        <v>9.2210403908152029E-3</v>
      </c>
      <c r="J1392" s="3">
        <f t="shared" si="130"/>
        <v>7.1466952857395091E-3</v>
      </c>
      <c r="K1392" s="3" t="str">
        <f t="shared" si="131"/>
        <v>Normal</v>
      </c>
      <c r="L1392" s="4">
        <f>VALUE(A1392)</f>
        <v>43409</v>
      </c>
    </row>
    <row r="1393" spans="1:12">
      <c r="A1393" s="5">
        <v>43410</v>
      </c>
      <c r="B1393" s="3">
        <v>1642.8100589999999</v>
      </c>
      <c r="C1393" s="3">
        <v>262.28277600000001</v>
      </c>
      <c r="D1393" s="3">
        <v>6479.7202150000003</v>
      </c>
      <c r="E1393" s="3">
        <v>310.83999599999999</v>
      </c>
      <c r="F1393" s="3">
        <f t="shared" si="126"/>
        <v>2018</v>
      </c>
      <c r="G1393" s="3" t="str">
        <f t="shared" si="127"/>
        <v>Nov</v>
      </c>
      <c r="H1393" s="3" t="str">
        <f t="shared" si="128"/>
        <v>Q4</v>
      </c>
      <c r="I1393" s="3">
        <f t="shared" si="129"/>
        <v>6.858974985129436E-2</v>
      </c>
      <c r="J1393" s="3">
        <f t="shared" si="130"/>
        <v>7.7102034258125082E-3</v>
      </c>
      <c r="K1393" s="3" t="str">
        <f t="shared" si="131"/>
        <v>Normal</v>
      </c>
      <c r="L1393" s="4">
        <f>VALUE(A1393)</f>
        <v>43410</v>
      </c>
    </row>
    <row r="1394" spans="1:12">
      <c r="A1394" s="5">
        <v>43411</v>
      </c>
      <c r="B1394" s="3">
        <v>1755.48999</v>
      </c>
      <c r="C1394" s="3">
        <v>270.154449</v>
      </c>
      <c r="D1394" s="3">
        <v>6529.6801759999998</v>
      </c>
      <c r="E1394" s="3">
        <v>327.5</v>
      </c>
      <c r="F1394" s="3">
        <f t="shared" si="126"/>
        <v>2018</v>
      </c>
      <c r="G1394" s="3" t="str">
        <f t="shared" si="127"/>
        <v>Nov</v>
      </c>
      <c r="H1394" s="3" t="str">
        <f t="shared" si="128"/>
        <v>Q4</v>
      </c>
      <c r="I1394" s="3">
        <f t="shared" si="129"/>
        <v>-3.3036702191622201E-4</v>
      </c>
      <c r="J1394" s="3">
        <f t="shared" si="130"/>
        <v>-1.2806158149574811E-2</v>
      </c>
      <c r="K1394" s="3" t="str">
        <f t="shared" si="131"/>
        <v>Normal</v>
      </c>
      <c r="L1394" s="4">
        <f>VALUE(A1394)</f>
        <v>43411</v>
      </c>
    </row>
    <row r="1395" spans="1:12">
      <c r="A1395" s="5">
        <v>43412</v>
      </c>
      <c r="B1395" s="3">
        <v>1754.910034</v>
      </c>
      <c r="C1395" s="3">
        <v>271.82629400000002</v>
      </c>
      <c r="D1395" s="3">
        <v>6446.0600590000004</v>
      </c>
      <c r="E1395" s="3">
        <v>317.92001299999998</v>
      </c>
      <c r="F1395" s="3">
        <f t="shared" si="126"/>
        <v>2018</v>
      </c>
      <c r="G1395" s="3" t="str">
        <f t="shared" si="127"/>
        <v>Nov</v>
      </c>
      <c r="H1395" s="3" t="str">
        <f t="shared" si="128"/>
        <v>Q4</v>
      </c>
      <c r="I1395" s="3">
        <f t="shared" si="129"/>
        <v>-2.4206357691838275E-2</v>
      </c>
      <c r="J1395" s="3">
        <f t="shared" si="130"/>
        <v>-1.0559911694425075E-2</v>
      </c>
      <c r="K1395" s="3" t="str">
        <f t="shared" si="131"/>
        <v>Normal</v>
      </c>
      <c r="L1395" s="4">
        <f>VALUE(A1395)</f>
        <v>43412</v>
      </c>
    </row>
    <row r="1396" spans="1:12">
      <c r="A1396" s="5">
        <v>43413</v>
      </c>
      <c r="B1396" s="3">
        <v>1712.4300539999999</v>
      </c>
      <c r="C1396" s="3">
        <v>273.02047700000003</v>
      </c>
      <c r="D1396" s="3">
        <v>6377.9902339999999</v>
      </c>
      <c r="E1396" s="3">
        <v>303.47000100000002</v>
      </c>
      <c r="F1396" s="3">
        <f t="shared" si="126"/>
        <v>2018</v>
      </c>
      <c r="G1396" s="3" t="str">
        <f t="shared" si="127"/>
        <v>Nov</v>
      </c>
      <c r="H1396" s="3" t="str">
        <f t="shared" si="128"/>
        <v>Q4</v>
      </c>
      <c r="I1396" s="3">
        <f t="shared" si="129"/>
        <v>-4.4136154830648609E-2</v>
      </c>
      <c r="J1396" s="3">
        <f t="shared" si="130"/>
        <v>-4.56281037322127E-4</v>
      </c>
      <c r="K1396" s="3" t="str">
        <f t="shared" si="131"/>
        <v>Normal</v>
      </c>
      <c r="L1396" s="4">
        <f>VALUE(A1396)</f>
        <v>43413</v>
      </c>
    </row>
    <row r="1397" spans="1:12">
      <c r="A1397" s="5">
        <v>43416</v>
      </c>
      <c r="B1397" s="3">
        <v>1636.849976</v>
      </c>
      <c r="C1397" s="3">
        <v>267.78598</v>
      </c>
      <c r="D1397" s="3">
        <v>6375.080078</v>
      </c>
      <c r="E1397" s="3">
        <v>294.07000699999998</v>
      </c>
      <c r="F1397" s="3">
        <f t="shared" si="126"/>
        <v>2018</v>
      </c>
      <c r="G1397" s="3" t="str">
        <f t="shared" si="127"/>
        <v>Nov</v>
      </c>
      <c r="H1397" s="3" t="str">
        <f t="shared" si="128"/>
        <v>Q4</v>
      </c>
      <c r="I1397" s="3">
        <f t="shared" si="129"/>
        <v>-3.4700382339743568E-3</v>
      </c>
      <c r="J1397" s="3">
        <f t="shared" si="130"/>
        <v>-5.632894890830251E-3</v>
      </c>
      <c r="K1397" s="3" t="str">
        <f t="shared" si="131"/>
        <v>Normal</v>
      </c>
      <c r="L1397" s="4">
        <f>VALUE(A1397)</f>
        <v>43416</v>
      </c>
    </row>
    <row r="1398" spans="1:12">
      <c r="A1398" s="5">
        <v>43417</v>
      </c>
      <c r="B1398" s="3">
        <v>1631.170044</v>
      </c>
      <c r="C1398" s="3">
        <v>263.42718500000001</v>
      </c>
      <c r="D1398" s="3">
        <v>6339.169922</v>
      </c>
      <c r="E1398" s="3">
        <v>294.39999399999999</v>
      </c>
      <c r="F1398" s="3">
        <f t="shared" si="126"/>
        <v>2018</v>
      </c>
      <c r="G1398" s="3" t="str">
        <f t="shared" si="127"/>
        <v>Nov</v>
      </c>
      <c r="H1398" s="3" t="str">
        <f t="shared" si="128"/>
        <v>Q4</v>
      </c>
      <c r="I1398" s="3">
        <f t="shared" si="129"/>
        <v>-1.9715929751343567E-2</v>
      </c>
      <c r="J1398" s="3">
        <f t="shared" si="130"/>
        <v>-9.4286746428060134E-2</v>
      </c>
      <c r="K1398" s="3" t="str">
        <f t="shared" si="131"/>
        <v>High Volatility</v>
      </c>
      <c r="L1398" s="4">
        <f>VALUE(A1398)</f>
        <v>43417</v>
      </c>
    </row>
    <row r="1399" spans="1:12">
      <c r="A1399" s="5">
        <v>43418</v>
      </c>
      <c r="B1399" s="3">
        <v>1599.01001</v>
      </c>
      <c r="C1399" s="3">
        <v>264.83038299999998</v>
      </c>
      <c r="D1399" s="3">
        <v>5741.4702150000003</v>
      </c>
      <c r="E1399" s="3">
        <v>286.73001099999999</v>
      </c>
      <c r="F1399" s="3">
        <f t="shared" si="126"/>
        <v>2018</v>
      </c>
      <c r="G1399" s="3" t="str">
        <f t="shared" si="127"/>
        <v>Nov</v>
      </c>
      <c r="H1399" s="3" t="str">
        <f t="shared" si="128"/>
        <v>Q4</v>
      </c>
      <c r="I1399" s="3">
        <f t="shared" si="129"/>
        <v>1.277661232402174E-2</v>
      </c>
      <c r="J1399" s="3">
        <f t="shared" si="130"/>
        <v>-1.6366925453082801E-2</v>
      </c>
      <c r="K1399" s="3" t="str">
        <f t="shared" si="131"/>
        <v>Normal</v>
      </c>
      <c r="L1399" s="4">
        <f>VALUE(A1399)</f>
        <v>43418</v>
      </c>
    </row>
    <row r="1400" spans="1:12">
      <c r="A1400" s="5">
        <v>43419</v>
      </c>
      <c r="B1400" s="3">
        <v>1619.4399410000001</v>
      </c>
      <c r="C1400" s="3">
        <v>258.36187699999999</v>
      </c>
      <c r="D1400" s="3">
        <v>5647.5</v>
      </c>
      <c r="E1400" s="3">
        <v>290.05999800000001</v>
      </c>
      <c r="F1400" s="3">
        <f t="shared" si="126"/>
        <v>2018</v>
      </c>
      <c r="G1400" s="3" t="str">
        <f t="shared" si="127"/>
        <v>Nov</v>
      </c>
      <c r="H1400" s="3" t="str">
        <f t="shared" si="128"/>
        <v>Q4</v>
      </c>
      <c r="I1400" s="3">
        <f t="shared" si="129"/>
        <v>-1.6073400649811498E-2</v>
      </c>
      <c r="J1400" s="3">
        <f t="shared" si="130"/>
        <v>-1.0841961930057559E-2</v>
      </c>
      <c r="K1400" s="3" t="str">
        <f t="shared" si="131"/>
        <v>Normal</v>
      </c>
      <c r="L1400" s="4">
        <f>VALUE(A1400)</f>
        <v>43419</v>
      </c>
    </row>
    <row r="1401" spans="1:12">
      <c r="A1401" s="5">
        <v>43420</v>
      </c>
      <c r="B1401" s="3">
        <v>1593.410034</v>
      </c>
      <c r="C1401" s="3">
        <v>263.33764600000001</v>
      </c>
      <c r="D1401" s="3">
        <v>5586.2700199999999</v>
      </c>
      <c r="E1401" s="3">
        <v>286.209991</v>
      </c>
      <c r="F1401" s="3">
        <f t="shared" si="126"/>
        <v>2018</v>
      </c>
      <c r="G1401" s="3" t="str">
        <f t="shared" si="127"/>
        <v>Nov</v>
      </c>
      <c r="H1401" s="3" t="str">
        <f t="shared" si="128"/>
        <v>Q4</v>
      </c>
      <c r="I1401" s="3">
        <f t="shared" si="129"/>
        <v>-5.0909680037825103E-2</v>
      </c>
      <c r="J1401" s="3">
        <f t="shared" si="130"/>
        <v>-0.13902834990421739</v>
      </c>
      <c r="K1401" s="3" t="str">
        <f t="shared" si="131"/>
        <v>High Volatility</v>
      </c>
      <c r="L1401" s="4">
        <f>VALUE(A1401)</f>
        <v>43420</v>
      </c>
    </row>
    <row r="1402" spans="1:12">
      <c r="A1402" s="5">
        <v>43423</v>
      </c>
      <c r="B1402" s="3">
        <v>1512.290039</v>
      </c>
      <c r="C1402" s="3">
        <v>250.848465</v>
      </c>
      <c r="D1402" s="3">
        <v>4809.6201170000004</v>
      </c>
      <c r="E1402" s="3">
        <v>270.60000600000001</v>
      </c>
      <c r="F1402" s="3">
        <f t="shared" si="126"/>
        <v>2018</v>
      </c>
      <c r="G1402" s="3" t="str">
        <f t="shared" si="127"/>
        <v>Nov</v>
      </c>
      <c r="H1402" s="3" t="str">
        <f t="shared" si="128"/>
        <v>Q4</v>
      </c>
      <c r="I1402" s="3">
        <f t="shared" si="129"/>
        <v>-1.1128869175868425E-2</v>
      </c>
      <c r="J1402" s="3">
        <f t="shared" si="130"/>
        <v>-7.6473827257155916E-2</v>
      </c>
      <c r="K1402" s="3" t="str">
        <f t="shared" si="131"/>
        <v>High Volatility</v>
      </c>
      <c r="L1402" s="4">
        <f>VALUE(A1402)</f>
        <v>43423</v>
      </c>
    </row>
    <row r="1403" spans="1:12">
      <c r="A1403" s="5">
        <v>43424</v>
      </c>
      <c r="B1403" s="3">
        <v>1495.459961</v>
      </c>
      <c r="C1403" s="3">
        <v>253.98318499999999</v>
      </c>
      <c r="D1403" s="3">
        <v>4441.8100590000004</v>
      </c>
      <c r="E1403" s="3">
        <v>266.98001099999999</v>
      </c>
      <c r="F1403" s="3">
        <f t="shared" si="126"/>
        <v>2018</v>
      </c>
      <c r="G1403" s="3" t="str">
        <f t="shared" si="127"/>
        <v>Nov</v>
      </c>
      <c r="H1403" s="3" t="str">
        <f t="shared" si="128"/>
        <v>Q4</v>
      </c>
      <c r="I1403" s="3">
        <f t="shared" si="129"/>
        <v>1.4223061502614209E-2</v>
      </c>
      <c r="J1403" s="3">
        <f t="shared" si="130"/>
        <v>3.4046926363629104E-2</v>
      </c>
      <c r="K1403" s="3" t="str">
        <f t="shared" si="131"/>
        <v>Normal</v>
      </c>
      <c r="L1403" s="4">
        <f>VALUE(A1403)</f>
        <v>43424</v>
      </c>
    </row>
    <row r="1404" spans="1:12">
      <c r="A1404" s="5">
        <v>43425</v>
      </c>
      <c r="B1404" s="3">
        <v>1516.7299800000001</v>
      </c>
      <c r="C1404" s="3">
        <v>258.33200099999999</v>
      </c>
      <c r="D1404" s="3">
        <v>4593.0400390000004</v>
      </c>
      <c r="E1404" s="3">
        <v>262.13000499999998</v>
      </c>
      <c r="F1404" s="3">
        <f t="shared" si="126"/>
        <v>2018</v>
      </c>
      <c r="G1404" s="3" t="str">
        <f t="shared" si="127"/>
        <v>Nov</v>
      </c>
      <c r="H1404" s="3" t="str">
        <f t="shared" si="128"/>
        <v>Q4</v>
      </c>
      <c r="I1404" s="3">
        <f t="shared" si="129"/>
        <v>-9.6720716234541346E-3</v>
      </c>
      <c r="J1404" s="3">
        <f t="shared" si="130"/>
        <v>-5.434747245407158E-2</v>
      </c>
      <c r="K1404" s="3" t="str">
        <f t="shared" si="131"/>
        <v>High Volatility</v>
      </c>
      <c r="L1404" s="4">
        <f>VALUE(A1404)</f>
        <v>43425</v>
      </c>
    </row>
    <row r="1405" spans="1:12">
      <c r="A1405" s="5">
        <v>43427</v>
      </c>
      <c r="B1405" s="3">
        <v>1502.0600589999999</v>
      </c>
      <c r="C1405" s="3">
        <v>261.227936</v>
      </c>
      <c r="D1405" s="3">
        <v>4343.419922</v>
      </c>
      <c r="E1405" s="3">
        <v>258.82000699999998</v>
      </c>
      <c r="F1405" s="3">
        <f t="shared" si="126"/>
        <v>2018</v>
      </c>
      <c r="G1405" s="3" t="str">
        <f t="shared" si="127"/>
        <v>Nov</v>
      </c>
      <c r="H1405" s="3" t="str">
        <f t="shared" si="128"/>
        <v>Q4</v>
      </c>
      <c r="I1405" s="3">
        <f t="shared" si="129"/>
        <v>5.2774119466816961E-2</v>
      </c>
      <c r="J1405" s="3">
        <f t="shared" si="130"/>
        <v>-0.12866124943836368</v>
      </c>
      <c r="K1405" s="3" t="str">
        <f t="shared" si="131"/>
        <v>High Volatility</v>
      </c>
      <c r="L1405" s="4">
        <f>VALUE(A1405)</f>
        <v>43427</v>
      </c>
    </row>
    <row r="1406" spans="1:12">
      <c r="A1406" s="5">
        <v>43430</v>
      </c>
      <c r="B1406" s="3">
        <v>1581.329956</v>
      </c>
      <c r="C1406" s="3">
        <v>265.06921399999999</v>
      </c>
      <c r="D1406" s="3">
        <v>3784.5900879999999</v>
      </c>
      <c r="E1406" s="3">
        <v>261.42999300000002</v>
      </c>
      <c r="F1406" s="3">
        <f t="shared" si="126"/>
        <v>2018</v>
      </c>
      <c r="G1406" s="3" t="str">
        <f t="shared" si="127"/>
        <v>Nov</v>
      </c>
      <c r="H1406" s="3" t="str">
        <f t="shared" si="128"/>
        <v>Q4</v>
      </c>
      <c r="I1406" s="3">
        <f t="shared" si="129"/>
        <v>5.6969767541621999E-5</v>
      </c>
      <c r="J1406" s="3">
        <f t="shared" si="130"/>
        <v>1.0146383388192215E-2</v>
      </c>
      <c r="K1406" s="3" t="str">
        <f t="shared" si="131"/>
        <v>Normal</v>
      </c>
      <c r="L1406" s="4">
        <f>VALUE(A1406)</f>
        <v>43430</v>
      </c>
    </row>
    <row r="1407" spans="1:12">
      <c r="A1407" s="5">
        <v>43431</v>
      </c>
      <c r="B1407" s="3">
        <v>1581.420044</v>
      </c>
      <c r="C1407" s="3">
        <v>267.27844199999998</v>
      </c>
      <c r="D1407" s="3">
        <v>3822.98999</v>
      </c>
      <c r="E1407" s="3">
        <v>266.63000499999998</v>
      </c>
      <c r="F1407" s="3">
        <f t="shared" si="126"/>
        <v>2018</v>
      </c>
      <c r="G1407" s="3" t="str">
        <f t="shared" si="127"/>
        <v>Nov</v>
      </c>
      <c r="H1407" s="3" t="str">
        <f t="shared" si="128"/>
        <v>Q4</v>
      </c>
      <c r="I1407" s="3">
        <f t="shared" si="129"/>
        <v>6.0913579769955185E-2</v>
      </c>
      <c r="J1407" s="3">
        <f t="shared" si="130"/>
        <v>0.11523959417952848</v>
      </c>
      <c r="K1407" s="3" t="str">
        <f t="shared" si="131"/>
        <v>High Volatility</v>
      </c>
      <c r="L1407" s="4">
        <f>VALUE(A1407)</f>
        <v>43431</v>
      </c>
    </row>
    <row r="1408" spans="1:12">
      <c r="A1408" s="5">
        <v>43432</v>
      </c>
      <c r="B1408" s="3">
        <v>1677.75</v>
      </c>
      <c r="C1408" s="3">
        <v>272.47314499999999</v>
      </c>
      <c r="D1408" s="3">
        <v>4263.5498049999997</v>
      </c>
      <c r="E1408" s="3">
        <v>282.64999399999999</v>
      </c>
      <c r="F1408" s="3">
        <f t="shared" si="126"/>
        <v>2018</v>
      </c>
      <c r="G1408" s="3" t="str">
        <f t="shared" si="127"/>
        <v>Nov</v>
      </c>
      <c r="H1408" s="3" t="str">
        <f t="shared" si="128"/>
        <v>Q4</v>
      </c>
      <c r="I1408" s="3">
        <f t="shared" si="129"/>
        <v>-2.4914641633139189E-3</v>
      </c>
      <c r="J1408" s="3">
        <f t="shared" si="130"/>
        <v>5.427434194122188E-3</v>
      </c>
      <c r="K1408" s="3" t="str">
        <f t="shared" si="131"/>
        <v>Normal</v>
      </c>
      <c r="L1408" s="4">
        <f>VALUE(A1408)</f>
        <v>43432</v>
      </c>
    </row>
    <row r="1409" spans="1:12">
      <c r="A1409" s="5">
        <v>43433</v>
      </c>
      <c r="B1409" s="3">
        <v>1673.5699460000001</v>
      </c>
      <c r="C1409" s="3">
        <v>278.82223499999998</v>
      </c>
      <c r="D1409" s="3">
        <v>4286.6899409999996</v>
      </c>
      <c r="E1409" s="3">
        <v>288.75</v>
      </c>
      <c r="F1409" s="3">
        <f t="shared" si="126"/>
        <v>2018</v>
      </c>
      <c r="G1409" s="3" t="str">
        <f t="shared" si="127"/>
        <v>Nov</v>
      </c>
      <c r="H1409" s="3" t="str">
        <f t="shared" si="128"/>
        <v>Q4</v>
      </c>
      <c r="I1409" s="3">
        <f t="shared" si="129"/>
        <v>9.9189747280511269E-3</v>
      </c>
      <c r="J1409" s="3">
        <f t="shared" si="130"/>
        <v>-6.4623292753330397E-2</v>
      </c>
      <c r="K1409" s="3" t="str">
        <f t="shared" si="131"/>
        <v>High Volatility</v>
      </c>
      <c r="L1409" s="4">
        <f>VALUE(A1409)</f>
        <v>43433</v>
      </c>
    </row>
    <row r="1410" spans="1:12">
      <c r="A1410" s="5">
        <v>43434</v>
      </c>
      <c r="B1410" s="3">
        <v>1690.170044</v>
      </c>
      <c r="C1410" s="3">
        <v>275.97610500000002</v>
      </c>
      <c r="D1410" s="3">
        <v>4009.669922</v>
      </c>
      <c r="E1410" s="3">
        <v>286.13000499999998</v>
      </c>
      <c r="F1410" s="3">
        <f t="shared" si="126"/>
        <v>2018</v>
      </c>
      <c r="G1410" s="3" t="str">
        <f t="shared" si="127"/>
        <v>Nov</v>
      </c>
      <c r="H1410" s="3" t="str">
        <f t="shared" si="128"/>
        <v>Q4</v>
      </c>
      <c r="I1410" s="3">
        <f t="shared" si="129"/>
        <v>4.8628208322452134E-2</v>
      </c>
      <c r="J1410" s="3">
        <f t="shared" si="130"/>
        <v>-3.4481643798509147E-2</v>
      </c>
      <c r="K1410" s="3" t="str">
        <f t="shared" si="131"/>
        <v>Normal</v>
      </c>
      <c r="L1410" s="4">
        <f>VALUE(A1410)</f>
        <v>43434</v>
      </c>
    </row>
    <row r="1411" spans="1:12">
      <c r="A1411" s="5">
        <v>43437</v>
      </c>
      <c r="B1411" s="3">
        <v>1772.3599850000001</v>
      </c>
      <c r="C1411" s="3">
        <v>275.02075200000002</v>
      </c>
      <c r="D1411" s="3">
        <v>3871.4099120000001</v>
      </c>
      <c r="E1411" s="3">
        <v>290.29998799999998</v>
      </c>
      <c r="F1411" s="3">
        <f t="shared" ref="F1411:F1474" si="132">YEAR(A1411)</f>
        <v>2018</v>
      </c>
      <c r="G1411" s="3" t="str">
        <f t="shared" ref="G1411:G1474" si="133">TEXT(A1411,"MMM")</f>
        <v>Dec</v>
      </c>
      <c r="H1411" s="3" t="str">
        <f t="shared" ref="H1411:H1474" si="134">"Q"&amp;ROUNDUP(MONTH(A1411)/3,0)</f>
        <v>Q4</v>
      </c>
      <c r="I1411" s="3">
        <f t="shared" ref="I1411:I1474" si="135">(B1412-B1411)/B1411</f>
        <v>-5.8656233428786203E-2</v>
      </c>
      <c r="J1411" s="3">
        <f t="shared" ref="J1411:J1474" si="136">(D1412-D1411)/D1411</f>
        <v>1.9897151361118904E-2</v>
      </c>
      <c r="K1411" s="3" t="str">
        <f t="shared" ref="K1411:K1474" si="137">IF(J1411="","",IF(ABS(J1411)&gt;0.05,"High Volatility","Normal"))</f>
        <v>Normal</v>
      </c>
      <c r="L1411" s="4">
        <f>VALUE(A1411)</f>
        <v>43437</v>
      </c>
    </row>
    <row r="1412" spans="1:12">
      <c r="A1412" s="5">
        <v>43438</v>
      </c>
      <c r="B1412" s="3">
        <v>1668.400024</v>
      </c>
      <c r="C1412" s="3">
        <v>264.73083500000001</v>
      </c>
      <c r="D1412" s="3">
        <v>3948.4399410000001</v>
      </c>
      <c r="E1412" s="3">
        <v>275.32998700000002</v>
      </c>
      <c r="F1412" s="3">
        <f t="shared" si="132"/>
        <v>2018</v>
      </c>
      <c r="G1412" s="3" t="str">
        <f t="shared" si="133"/>
        <v>Dec</v>
      </c>
      <c r="H1412" s="3" t="str">
        <f t="shared" si="134"/>
        <v>Q4</v>
      </c>
      <c r="I1412" s="3">
        <f t="shared" si="135"/>
        <v>1.8454756986985069E-2</v>
      </c>
      <c r="J1412" s="3">
        <f t="shared" si="136"/>
        <v>-0.11732735356807092</v>
      </c>
      <c r="K1412" s="3" t="str">
        <f t="shared" si="137"/>
        <v>High Volatility</v>
      </c>
      <c r="L1412" s="4">
        <f>VALUE(A1412)</f>
        <v>43438</v>
      </c>
    </row>
    <row r="1413" spans="1:12">
      <c r="A1413" s="5">
        <v>43440</v>
      </c>
      <c r="B1413" s="3">
        <v>1699.1899410000001</v>
      </c>
      <c r="C1413" s="3">
        <v>265.10900900000001</v>
      </c>
      <c r="D1413" s="3">
        <v>3485.179932</v>
      </c>
      <c r="E1413" s="3">
        <v>282.88000499999998</v>
      </c>
      <c r="F1413" s="3">
        <f t="shared" si="132"/>
        <v>2018</v>
      </c>
      <c r="G1413" s="3" t="str">
        <f t="shared" si="133"/>
        <v>Dec</v>
      </c>
      <c r="H1413" s="3" t="str">
        <f t="shared" si="134"/>
        <v>Q4</v>
      </c>
      <c r="I1413" s="3">
        <f t="shared" si="135"/>
        <v>-4.1231374026831122E-2</v>
      </c>
      <c r="J1413" s="3">
        <f t="shared" si="136"/>
        <v>-1.8538458633590001E-2</v>
      </c>
      <c r="K1413" s="3" t="str">
        <f t="shared" si="137"/>
        <v>Normal</v>
      </c>
      <c r="L1413" s="4">
        <f>VALUE(A1413)</f>
        <v>43440</v>
      </c>
    </row>
    <row r="1414" spans="1:12">
      <c r="A1414" s="5">
        <v>43441</v>
      </c>
      <c r="B1414" s="3">
        <v>1629.130005</v>
      </c>
      <c r="C1414" s="3">
        <v>257.06817599999999</v>
      </c>
      <c r="D1414" s="3">
        <v>3420.570068</v>
      </c>
      <c r="E1414" s="3">
        <v>265.14001500000001</v>
      </c>
      <c r="F1414" s="3">
        <f t="shared" si="132"/>
        <v>2018</v>
      </c>
      <c r="G1414" s="3" t="str">
        <f t="shared" si="133"/>
        <v>Dec</v>
      </c>
      <c r="H1414" s="3" t="str">
        <f t="shared" si="134"/>
        <v>Q4</v>
      </c>
      <c r="I1414" s="3">
        <f t="shared" si="135"/>
        <v>7.3045269336869346E-3</v>
      </c>
      <c r="J1414" s="3">
        <f t="shared" si="136"/>
        <v>1.3620491050850208E-2</v>
      </c>
      <c r="K1414" s="3" t="str">
        <f t="shared" si="137"/>
        <v>Normal</v>
      </c>
      <c r="L1414" s="4">
        <f>VALUE(A1414)</f>
        <v>43441</v>
      </c>
    </row>
    <row r="1415" spans="1:12">
      <c r="A1415" s="5">
        <v>43444</v>
      </c>
      <c r="B1415" s="3">
        <v>1641.030029</v>
      </c>
      <c r="C1415" s="3">
        <v>253.973251</v>
      </c>
      <c r="D1415" s="3">
        <v>3467.1599120000001</v>
      </c>
      <c r="E1415" s="3">
        <v>269.70001200000002</v>
      </c>
      <c r="F1415" s="3">
        <f t="shared" si="132"/>
        <v>2018</v>
      </c>
      <c r="G1415" s="3" t="str">
        <f t="shared" si="133"/>
        <v>Dec</v>
      </c>
      <c r="H1415" s="3" t="str">
        <f t="shared" si="134"/>
        <v>Q4</v>
      </c>
      <c r="I1415" s="3">
        <f t="shared" si="135"/>
        <v>1.3466913834274639E-3</v>
      </c>
      <c r="J1415" s="3">
        <f t="shared" si="136"/>
        <v>-1.9076100808355256E-2</v>
      </c>
      <c r="K1415" s="3" t="str">
        <f t="shared" si="137"/>
        <v>Normal</v>
      </c>
      <c r="L1415" s="4">
        <f>VALUE(A1415)</f>
        <v>43444</v>
      </c>
    </row>
    <row r="1416" spans="1:12">
      <c r="A1416" s="5">
        <v>43445</v>
      </c>
      <c r="B1416" s="3">
        <v>1643.23999</v>
      </c>
      <c r="C1416" s="3">
        <v>250.77879300000001</v>
      </c>
      <c r="D1416" s="3">
        <v>3401.0200199999999</v>
      </c>
      <c r="E1416" s="3">
        <v>265.32000699999998</v>
      </c>
      <c r="F1416" s="3">
        <f t="shared" si="132"/>
        <v>2018</v>
      </c>
      <c r="G1416" s="3" t="str">
        <f t="shared" si="133"/>
        <v>Dec</v>
      </c>
      <c r="H1416" s="3" t="str">
        <f t="shared" si="134"/>
        <v>Q4</v>
      </c>
      <c r="I1416" s="3">
        <f t="shared" si="135"/>
        <v>1.235367269755889E-2</v>
      </c>
      <c r="J1416" s="3">
        <f t="shared" si="136"/>
        <v>2.486608943866199E-2</v>
      </c>
      <c r="K1416" s="3" t="str">
        <f t="shared" si="137"/>
        <v>Normal</v>
      </c>
      <c r="L1416" s="4">
        <f>VALUE(A1416)</f>
        <v>43445</v>
      </c>
    </row>
    <row r="1417" spans="1:12">
      <c r="A1417" s="5">
        <v>43446</v>
      </c>
      <c r="B1417" s="3">
        <v>1663.540039</v>
      </c>
      <c r="C1417" s="3">
        <v>248.470032</v>
      </c>
      <c r="D1417" s="3">
        <v>3485.5900879999999</v>
      </c>
      <c r="E1417" s="3">
        <v>274.88000499999998</v>
      </c>
      <c r="F1417" s="3">
        <f t="shared" si="132"/>
        <v>2018</v>
      </c>
      <c r="G1417" s="3" t="str">
        <f t="shared" si="133"/>
        <v>Dec</v>
      </c>
      <c r="H1417" s="3" t="str">
        <f t="shared" si="134"/>
        <v>Q4</v>
      </c>
      <c r="I1417" s="3">
        <f t="shared" si="135"/>
        <v>-3.1018393780902534E-3</v>
      </c>
      <c r="J1417" s="3">
        <f t="shared" si="136"/>
        <v>-5.1778888636775343E-2</v>
      </c>
      <c r="K1417" s="3" t="str">
        <f t="shared" si="137"/>
        <v>High Volatility</v>
      </c>
      <c r="L1417" s="4">
        <f>VALUE(A1417)</f>
        <v>43446</v>
      </c>
    </row>
    <row r="1418" spans="1:12">
      <c r="A1418" s="5">
        <v>43447</v>
      </c>
      <c r="B1418" s="3">
        <v>1658.380005</v>
      </c>
      <c r="C1418" s="3">
        <v>249.49731399999999</v>
      </c>
      <c r="D1418" s="3">
        <v>3305.110107</v>
      </c>
      <c r="E1418" s="3">
        <v>276.01998900000001</v>
      </c>
      <c r="F1418" s="3">
        <f t="shared" si="132"/>
        <v>2018</v>
      </c>
      <c r="G1418" s="3" t="str">
        <f t="shared" si="133"/>
        <v>Dec</v>
      </c>
      <c r="H1418" s="3" t="str">
        <f t="shared" si="134"/>
        <v>Q4</v>
      </c>
      <c r="I1418" s="3">
        <f t="shared" si="135"/>
        <v>-4.008126653697805E-2</v>
      </c>
      <c r="J1418" s="3">
        <f t="shared" si="136"/>
        <v>-2.1067415228475442E-2</v>
      </c>
      <c r="K1418" s="3" t="str">
        <f t="shared" si="137"/>
        <v>Normal</v>
      </c>
      <c r="L1418" s="4">
        <f>VALUE(A1418)</f>
        <v>43447</v>
      </c>
    </row>
    <row r="1419" spans="1:12">
      <c r="A1419" s="5">
        <v>43448</v>
      </c>
      <c r="B1419" s="3">
        <v>1591.910034</v>
      </c>
      <c r="C1419" s="3">
        <v>248.350357</v>
      </c>
      <c r="D1419" s="3">
        <v>3235.4799800000001</v>
      </c>
      <c r="E1419" s="3">
        <v>266.83999599999999</v>
      </c>
      <c r="F1419" s="3">
        <f t="shared" si="132"/>
        <v>2018</v>
      </c>
      <c r="G1419" s="3" t="str">
        <f t="shared" si="133"/>
        <v>Dec</v>
      </c>
      <c r="H1419" s="3" t="str">
        <f t="shared" si="134"/>
        <v>Q4</v>
      </c>
      <c r="I1419" s="3">
        <f t="shared" si="135"/>
        <v>-4.4600510382862502E-2</v>
      </c>
      <c r="J1419" s="3">
        <f t="shared" si="136"/>
        <v>9.6650253728350996E-2</v>
      </c>
      <c r="K1419" s="3" t="str">
        <f t="shared" si="137"/>
        <v>High Volatility</v>
      </c>
      <c r="L1419" s="4">
        <f>VALUE(A1419)</f>
        <v>43448</v>
      </c>
    </row>
    <row r="1420" spans="1:12">
      <c r="A1420" s="5">
        <v>43451</v>
      </c>
      <c r="B1420" s="3">
        <v>1520.910034</v>
      </c>
      <c r="C1420" s="3">
        <v>241.54843099999999</v>
      </c>
      <c r="D1420" s="3">
        <v>3548.1899410000001</v>
      </c>
      <c r="E1420" s="3">
        <v>262.79998799999998</v>
      </c>
      <c r="F1420" s="3">
        <f t="shared" si="132"/>
        <v>2018</v>
      </c>
      <c r="G1420" s="3" t="str">
        <f t="shared" si="133"/>
        <v>Dec</v>
      </c>
      <c r="H1420" s="3" t="str">
        <f t="shared" si="134"/>
        <v>Q4</v>
      </c>
      <c r="I1420" s="3">
        <f t="shared" si="135"/>
        <v>2.0099772712788923E-2</v>
      </c>
      <c r="J1420" s="3">
        <f t="shared" si="136"/>
        <v>4.7252306045585453E-2</v>
      </c>
      <c r="K1420" s="3" t="str">
        <f t="shared" si="137"/>
        <v>Normal</v>
      </c>
      <c r="L1420" s="4">
        <f>VALUE(A1420)</f>
        <v>43451</v>
      </c>
    </row>
    <row r="1421" spans="1:12">
      <c r="A1421" s="5">
        <v>43452</v>
      </c>
      <c r="B1421" s="3">
        <v>1551.4799800000001</v>
      </c>
      <c r="C1421" s="3">
        <v>244.001892</v>
      </c>
      <c r="D1421" s="3">
        <v>3715.8500979999999</v>
      </c>
      <c r="E1421" s="3">
        <v>270.94000199999999</v>
      </c>
      <c r="F1421" s="3">
        <f t="shared" si="132"/>
        <v>2018</v>
      </c>
      <c r="G1421" s="3" t="str">
        <f t="shared" si="133"/>
        <v>Dec</v>
      </c>
      <c r="H1421" s="3" t="str">
        <f t="shared" si="134"/>
        <v>Q4</v>
      </c>
      <c r="I1421" s="3">
        <f t="shared" si="135"/>
        <v>-3.6352402046464068E-2</v>
      </c>
      <c r="J1421" s="3">
        <f t="shared" si="136"/>
        <v>5.568023589308981E-3</v>
      </c>
      <c r="K1421" s="3" t="str">
        <f t="shared" si="137"/>
        <v>Normal</v>
      </c>
      <c r="L1421" s="4">
        <f>VALUE(A1421)</f>
        <v>43452</v>
      </c>
    </row>
    <row r="1422" spans="1:12">
      <c r="A1422" s="5">
        <v>43453</v>
      </c>
      <c r="B1422" s="3">
        <v>1495.079956</v>
      </c>
      <c r="C1422" s="3">
        <v>238.74586500000001</v>
      </c>
      <c r="D1422" s="3">
        <v>3736.540039</v>
      </c>
      <c r="E1422" s="3">
        <v>266.76998900000001</v>
      </c>
      <c r="F1422" s="3">
        <f t="shared" si="132"/>
        <v>2018</v>
      </c>
      <c r="G1422" s="3" t="str">
        <f t="shared" si="133"/>
        <v>Dec</v>
      </c>
      <c r="H1422" s="3" t="str">
        <f t="shared" si="134"/>
        <v>Q4</v>
      </c>
      <c r="I1422" s="3">
        <f t="shared" si="135"/>
        <v>-2.2908473799377188E-2</v>
      </c>
      <c r="J1422" s="3">
        <f t="shared" si="136"/>
        <v>0.1073506807938155</v>
      </c>
      <c r="K1422" s="3" t="str">
        <f t="shared" si="137"/>
        <v>High Volatility</v>
      </c>
      <c r="L1422" s="4">
        <f>VALUE(A1422)</f>
        <v>43453</v>
      </c>
    </row>
    <row r="1423" spans="1:12">
      <c r="A1423" s="5">
        <v>43454</v>
      </c>
      <c r="B1423" s="3">
        <v>1460.829956</v>
      </c>
      <c r="C1423" s="3">
        <v>234.766434</v>
      </c>
      <c r="D1423" s="3">
        <v>4137.6601559999999</v>
      </c>
      <c r="E1423" s="3">
        <v>260.57998700000002</v>
      </c>
      <c r="F1423" s="3">
        <f t="shared" si="132"/>
        <v>2018</v>
      </c>
      <c r="G1423" s="3" t="str">
        <f t="shared" si="133"/>
        <v>Dec</v>
      </c>
      <c r="H1423" s="3" t="str">
        <f t="shared" si="134"/>
        <v>Q4</v>
      </c>
      <c r="I1423" s="3">
        <f t="shared" si="135"/>
        <v>-5.7077146219200327E-2</v>
      </c>
      <c r="J1423" s="3">
        <f t="shared" si="136"/>
        <v>-5.7725885644243809E-2</v>
      </c>
      <c r="K1423" s="3" t="str">
        <f t="shared" si="137"/>
        <v>High Volatility</v>
      </c>
      <c r="L1423" s="4">
        <f>VALUE(A1423)</f>
        <v>43454</v>
      </c>
    </row>
    <row r="1424" spans="1:12">
      <c r="A1424" s="5">
        <v>43455</v>
      </c>
      <c r="B1424" s="3">
        <v>1377.4499510000001</v>
      </c>
      <c r="C1424" s="3">
        <v>238.85557600000001</v>
      </c>
      <c r="D1424" s="3">
        <v>3898.8100589999999</v>
      </c>
      <c r="E1424" s="3">
        <v>246.38999899999999</v>
      </c>
      <c r="F1424" s="3">
        <f t="shared" si="132"/>
        <v>2018</v>
      </c>
      <c r="G1424" s="3" t="str">
        <f t="shared" si="133"/>
        <v>Dec</v>
      </c>
      <c r="H1424" s="3" t="str">
        <f t="shared" si="134"/>
        <v>Q4</v>
      </c>
      <c r="I1424" s="3">
        <f t="shared" si="135"/>
        <v>-2.4313035820783903E-2</v>
      </c>
      <c r="J1424" s="3">
        <f t="shared" si="136"/>
        <v>4.6973278828303176E-2</v>
      </c>
      <c r="K1424" s="3" t="str">
        <f t="shared" si="137"/>
        <v>Normal</v>
      </c>
      <c r="L1424" s="4">
        <f>VALUE(A1424)</f>
        <v>43455</v>
      </c>
    </row>
    <row r="1425" spans="1:12">
      <c r="A1425" s="5">
        <v>43458</v>
      </c>
      <c r="B1425" s="3">
        <v>1343.959961</v>
      </c>
      <c r="C1425" s="3">
        <v>233.72920199999999</v>
      </c>
      <c r="D1425" s="3">
        <v>4081.9499510000001</v>
      </c>
      <c r="E1425" s="3">
        <v>233.88000500000001</v>
      </c>
      <c r="F1425" s="3">
        <f t="shared" si="132"/>
        <v>2018</v>
      </c>
      <c r="G1425" s="3" t="str">
        <f t="shared" si="133"/>
        <v>Dec</v>
      </c>
      <c r="H1425" s="3" t="str">
        <f t="shared" si="134"/>
        <v>Q4</v>
      </c>
      <c r="I1425" s="3">
        <f t="shared" si="135"/>
        <v>9.4452265457036194E-2</v>
      </c>
      <c r="J1425" s="3">
        <f t="shared" si="136"/>
        <v>-5.7122190325454097E-2</v>
      </c>
      <c r="K1425" s="3" t="str">
        <f t="shared" si="137"/>
        <v>High Volatility</v>
      </c>
      <c r="L1425" s="4">
        <f>VALUE(A1425)</f>
        <v>43458</v>
      </c>
    </row>
    <row r="1426" spans="1:12">
      <c r="A1426" s="5">
        <v>43460</v>
      </c>
      <c r="B1426" s="3">
        <v>1470.900024</v>
      </c>
      <c r="C1426" s="3">
        <v>248.25062600000001</v>
      </c>
      <c r="D1426" s="3">
        <v>3848.780029</v>
      </c>
      <c r="E1426" s="3">
        <v>253.66999799999999</v>
      </c>
      <c r="F1426" s="3">
        <f t="shared" si="132"/>
        <v>2018</v>
      </c>
      <c r="G1426" s="3" t="str">
        <f t="shared" si="133"/>
        <v>Dec</v>
      </c>
      <c r="H1426" s="3" t="str">
        <f t="shared" si="134"/>
        <v>Q4</v>
      </c>
      <c r="I1426" s="3">
        <f t="shared" si="135"/>
        <v>-6.2954713773259695E-3</v>
      </c>
      <c r="J1426" s="3">
        <f t="shared" si="136"/>
        <v>-5.2663425675866314E-2</v>
      </c>
      <c r="K1426" s="3" t="str">
        <f t="shared" si="137"/>
        <v>High Volatility</v>
      </c>
      <c r="L1426" s="4">
        <f>VALUE(A1426)</f>
        <v>43460</v>
      </c>
    </row>
    <row r="1427" spans="1:12">
      <c r="A1427" s="5">
        <v>43461</v>
      </c>
      <c r="B1427" s="3">
        <v>1461.6400149999999</v>
      </c>
      <c r="C1427" s="3">
        <v>247.81178299999999</v>
      </c>
      <c r="D1427" s="3">
        <v>3646.0900879999999</v>
      </c>
      <c r="E1427" s="3">
        <v>255.570007</v>
      </c>
      <c r="F1427" s="3">
        <f t="shared" si="132"/>
        <v>2018</v>
      </c>
      <c r="G1427" s="3" t="str">
        <f t="shared" si="133"/>
        <v>Dec</v>
      </c>
      <c r="H1427" s="3" t="str">
        <f t="shared" si="134"/>
        <v>Q4</v>
      </c>
      <c r="I1427" s="3">
        <f t="shared" si="135"/>
        <v>1.1206593163775681E-2</v>
      </c>
      <c r="J1427" s="3">
        <f t="shared" si="136"/>
        <v>8.2765376531201071E-2</v>
      </c>
      <c r="K1427" s="3" t="str">
        <f t="shared" si="137"/>
        <v>High Volatility</v>
      </c>
      <c r="L1427" s="4">
        <f>VALUE(A1427)</f>
        <v>43461</v>
      </c>
    </row>
    <row r="1428" spans="1:12">
      <c r="A1428" s="5">
        <v>43462</v>
      </c>
      <c r="B1428" s="3">
        <v>1478.0200199999999</v>
      </c>
      <c r="C1428" s="3">
        <v>249.287857</v>
      </c>
      <c r="D1428" s="3">
        <v>3947.860107</v>
      </c>
      <c r="E1428" s="3">
        <v>256.07998700000002</v>
      </c>
      <c r="F1428" s="3">
        <f t="shared" si="132"/>
        <v>2018</v>
      </c>
      <c r="G1428" s="3" t="str">
        <f t="shared" si="133"/>
        <v>Dec</v>
      </c>
      <c r="H1428" s="3" t="str">
        <f t="shared" si="134"/>
        <v>Q4</v>
      </c>
      <c r="I1428" s="3">
        <f t="shared" si="135"/>
        <v>1.6204077533401785E-2</v>
      </c>
      <c r="J1428" s="3">
        <f t="shared" si="136"/>
        <v>-5.077946243448285E-2</v>
      </c>
      <c r="K1428" s="3" t="str">
        <f t="shared" si="137"/>
        <v>High Volatility</v>
      </c>
      <c r="L1428" s="4">
        <f>VALUE(A1428)</f>
        <v>43462</v>
      </c>
    </row>
    <row r="1429" spans="1:12">
      <c r="A1429" s="5">
        <v>43465</v>
      </c>
      <c r="B1429" s="3">
        <v>1501.969971</v>
      </c>
      <c r="C1429" s="3">
        <v>247.33306899999999</v>
      </c>
      <c r="D1429" s="3">
        <v>3747.389893</v>
      </c>
      <c r="E1429" s="3">
        <v>267.66000400000001</v>
      </c>
      <c r="F1429" s="3">
        <f t="shared" si="132"/>
        <v>2018</v>
      </c>
      <c r="G1429" s="3" t="str">
        <f t="shared" si="133"/>
        <v>Dec</v>
      </c>
      <c r="H1429" s="3" t="str">
        <f t="shared" si="134"/>
        <v>Q4</v>
      </c>
      <c r="I1429" s="3">
        <f t="shared" si="135"/>
        <v>2.4740863477622745E-2</v>
      </c>
      <c r="J1429" s="3">
        <f t="shared" si="136"/>
        <v>5.7005041668878709E-2</v>
      </c>
      <c r="K1429" s="3" t="str">
        <f t="shared" si="137"/>
        <v>High Volatility</v>
      </c>
      <c r="L1429" s="4">
        <f>VALUE(A1429)</f>
        <v>43465</v>
      </c>
    </row>
    <row r="1430" spans="1:12">
      <c r="A1430" s="5">
        <v>43467</v>
      </c>
      <c r="B1430" s="3">
        <v>1539.130005</v>
      </c>
      <c r="C1430" s="3">
        <v>242.65548699999999</v>
      </c>
      <c r="D1430" s="3">
        <v>3961.01001</v>
      </c>
      <c r="E1430" s="3">
        <v>267.66000400000001</v>
      </c>
      <c r="F1430" s="3">
        <f t="shared" si="132"/>
        <v>2019</v>
      </c>
      <c r="G1430" s="3" t="str">
        <f t="shared" si="133"/>
        <v>Jan</v>
      </c>
      <c r="H1430" s="3" t="str">
        <f t="shared" si="134"/>
        <v>Q1</v>
      </c>
      <c r="I1430" s="3">
        <f t="shared" si="135"/>
        <v>-2.5241516878881178E-2</v>
      </c>
      <c r="J1430" s="3">
        <f t="shared" si="136"/>
        <v>-3.1595452342722048E-2</v>
      </c>
      <c r="K1430" s="3" t="str">
        <f t="shared" si="137"/>
        <v>Normal</v>
      </c>
      <c r="L1430" s="4">
        <f>VALUE(A1430)</f>
        <v>43467</v>
      </c>
    </row>
    <row r="1431" spans="1:12">
      <c r="A1431" s="5">
        <v>43468</v>
      </c>
      <c r="B1431" s="3">
        <v>1500.280029</v>
      </c>
      <c r="C1431" s="3">
        <v>239.05505400000001</v>
      </c>
      <c r="D1431" s="3">
        <v>3835.860107</v>
      </c>
      <c r="E1431" s="3">
        <v>271.20001200000002</v>
      </c>
      <c r="F1431" s="3">
        <f t="shared" si="132"/>
        <v>2019</v>
      </c>
      <c r="G1431" s="3" t="str">
        <f t="shared" si="133"/>
        <v>Jan</v>
      </c>
      <c r="H1431" s="3" t="str">
        <f t="shared" si="134"/>
        <v>Q1</v>
      </c>
      <c r="I1431" s="3">
        <f t="shared" si="135"/>
        <v>5.0063977756248552E-2</v>
      </c>
      <c r="J1431" s="3">
        <f t="shared" si="136"/>
        <v>9.9586405485146481E-3</v>
      </c>
      <c r="K1431" s="3" t="str">
        <f t="shared" si="137"/>
        <v>Normal</v>
      </c>
      <c r="L1431" s="4">
        <f>VALUE(A1431)</f>
        <v>43468</v>
      </c>
    </row>
    <row r="1432" spans="1:12">
      <c r="A1432" s="5">
        <v>43469</v>
      </c>
      <c r="B1432" s="3">
        <v>1575.3900149999999</v>
      </c>
      <c r="C1432" s="3">
        <v>242.95469700000001</v>
      </c>
      <c r="D1432" s="3">
        <v>3874.0600589999999</v>
      </c>
      <c r="E1432" s="3">
        <v>297.57000699999998</v>
      </c>
      <c r="F1432" s="3">
        <f t="shared" si="132"/>
        <v>2019</v>
      </c>
      <c r="G1432" s="3" t="str">
        <f t="shared" si="133"/>
        <v>Jan</v>
      </c>
      <c r="H1432" s="3" t="str">
        <f t="shared" si="134"/>
        <v>Q1</v>
      </c>
      <c r="I1432" s="3">
        <f t="shared" si="135"/>
        <v>3.4353394705247016E-2</v>
      </c>
      <c r="J1432" s="3">
        <f t="shared" si="136"/>
        <v>4.5518097374442436E-2</v>
      </c>
      <c r="K1432" s="3" t="str">
        <f t="shared" si="137"/>
        <v>Normal</v>
      </c>
      <c r="L1432" s="4">
        <f>VALUE(A1432)</f>
        <v>43469</v>
      </c>
    </row>
    <row r="1433" spans="1:12">
      <c r="A1433" s="5">
        <v>43472</v>
      </c>
      <c r="B1433" s="3">
        <v>1629.51001</v>
      </c>
      <c r="C1433" s="3">
        <v>245.777176</v>
      </c>
      <c r="D1433" s="3">
        <v>4050.3999020000001</v>
      </c>
      <c r="E1433" s="3">
        <v>315.33999599999999</v>
      </c>
      <c r="F1433" s="3">
        <f t="shared" si="132"/>
        <v>2019</v>
      </c>
      <c r="G1433" s="3" t="str">
        <f t="shared" si="133"/>
        <v>Jan</v>
      </c>
      <c r="H1433" s="3" t="str">
        <f t="shared" si="134"/>
        <v>Q1</v>
      </c>
      <c r="I1433" s="3">
        <f t="shared" si="135"/>
        <v>1.6612322620835004E-2</v>
      </c>
      <c r="J1433" s="3">
        <f t="shared" si="136"/>
        <v>-2.3824566051453828E-3</v>
      </c>
      <c r="K1433" s="3" t="str">
        <f t="shared" si="137"/>
        <v>Normal</v>
      </c>
      <c r="L1433" s="4">
        <f>VALUE(A1433)</f>
        <v>43472</v>
      </c>
    </row>
    <row r="1434" spans="1:12">
      <c r="A1434" s="5">
        <v>43473</v>
      </c>
      <c r="B1434" s="3">
        <v>1656.579956</v>
      </c>
      <c r="C1434" s="3">
        <v>241.568375</v>
      </c>
      <c r="D1434" s="3">
        <v>4040.75</v>
      </c>
      <c r="E1434" s="3">
        <v>320.26998900000001</v>
      </c>
      <c r="F1434" s="3">
        <f t="shared" si="132"/>
        <v>2019</v>
      </c>
      <c r="G1434" s="3" t="str">
        <f t="shared" si="133"/>
        <v>Jan</v>
      </c>
      <c r="H1434" s="3" t="str">
        <f t="shared" si="134"/>
        <v>Q1</v>
      </c>
      <c r="I1434" s="3">
        <f t="shared" si="135"/>
        <v>1.7144285669480376E-3</v>
      </c>
      <c r="J1434" s="3">
        <f t="shared" si="136"/>
        <v>1.8783859432035942E-3</v>
      </c>
      <c r="K1434" s="3" t="str">
        <f t="shared" si="137"/>
        <v>Normal</v>
      </c>
      <c r="L1434" s="4">
        <f>VALUE(A1434)</f>
        <v>43473</v>
      </c>
    </row>
    <row r="1435" spans="1:12">
      <c r="A1435" s="5">
        <v>43474</v>
      </c>
      <c r="B1435" s="3">
        <v>1659.420044</v>
      </c>
      <c r="C1435" s="3">
        <v>245.936768</v>
      </c>
      <c r="D1435" s="3">
        <v>4048.3400879999999</v>
      </c>
      <c r="E1435" s="3">
        <v>319.959991</v>
      </c>
      <c r="F1435" s="3">
        <f t="shared" si="132"/>
        <v>2019</v>
      </c>
      <c r="G1435" s="3" t="str">
        <f t="shared" si="133"/>
        <v>Jan</v>
      </c>
      <c r="H1435" s="3" t="str">
        <f t="shared" si="134"/>
        <v>Q1</v>
      </c>
      <c r="I1435" s="3">
        <f t="shared" si="135"/>
        <v>-1.9284285564529285E-3</v>
      </c>
      <c r="J1435" s="3">
        <f t="shared" si="136"/>
        <v>-9.3912610535599794E-2</v>
      </c>
      <c r="K1435" s="3" t="str">
        <f t="shared" si="137"/>
        <v>High Volatility</v>
      </c>
      <c r="L1435" s="4">
        <f>VALUE(A1435)</f>
        <v>43474</v>
      </c>
    </row>
    <row r="1436" spans="1:12">
      <c r="A1436" s="5">
        <v>43475</v>
      </c>
      <c r="B1436" s="3">
        <v>1656.219971</v>
      </c>
      <c r="C1436" s="3">
        <v>245.53782699999999</v>
      </c>
      <c r="D1436" s="3">
        <v>3668.1499020000001</v>
      </c>
      <c r="E1436" s="3">
        <v>324.66000400000001</v>
      </c>
      <c r="F1436" s="3">
        <f t="shared" si="132"/>
        <v>2019</v>
      </c>
      <c r="G1436" s="3" t="str">
        <f t="shared" si="133"/>
        <v>Jan</v>
      </c>
      <c r="H1436" s="3" t="str">
        <f t="shared" si="134"/>
        <v>Q1</v>
      </c>
      <c r="I1436" s="3">
        <f t="shared" si="135"/>
        <v>-9.4552126373315393E-3</v>
      </c>
      <c r="J1436" s="3">
        <f t="shared" si="136"/>
        <v>2.8626120198289119E-4</v>
      </c>
      <c r="K1436" s="3" t="str">
        <f t="shared" si="137"/>
        <v>Normal</v>
      </c>
      <c r="L1436" s="4">
        <f>VALUE(A1436)</f>
        <v>43475</v>
      </c>
    </row>
    <row r="1437" spans="1:12">
      <c r="A1437" s="5">
        <v>43476</v>
      </c>
      <c r="B1437" s="3">
        <v>1640.5600589999999</v>
      </c>
      <c r="C1437" s="3">
        <v>248.33041399999999</v>
      </c>
      <c r="D1437" s="3">
        <v>3669.1999510000001</v>
      </c>
      <c r="E1437" s="3">
        <v>337.58999599999999</v>
      </c>
      <c r="F1437" s="3">
        <f t="shared" si="132"/>
        <v>2019</v>
      </c>
      <c r="G1437" s="3" t="str">
        <f t="shared" si="133"/>
        <v>Jan</v>
      </c>
      <c r="H1437" s="3" t="str">
        <f t="shared" si="134"/>
        <v>Q1</v>
      </c>
      <c r="I1437" s="3">
        <f t="shared" si="135"/>
        <v>-1.423300407193437E-2</v>
      </c>
      <c r="J1437" s="3">
        <f t="shared" si="136"/>
        <v>9.457089137522464E-3</v>
      </c>
      <c r="K1437" s="3" t="str">
        <f t="shared" si="137"/>
        <v>Normal</v>
      </c>
      <c r="L1437" s="4">
        <f>VALUE(A1437)</f>
        <v>43476</v>
      </c>
    </row>
    <row r="1438" spans="1:12">
      <c r="A1438" s="5">
        <v>43479</v>
      </c>
      <c r="B1438" s="3">
        <v>1617.209961</v>
      </c>
      <c r="C1438" s="3">
        <v>243.523178</v>
      </c>
      <c r="D1438" s="3">
        <v>3703.8999020000001</v>
      </c>
      <c r="E1438" s="3">
        <v>332.94000199999999</v>
      </c>
      <c r="F1438" s="3">
        <f t="shared" si="132"/>
        <v>2019</v>
      </c>
      <c r="G1438" s="3" t="str">
        <f t="shared" si="133"/>
        <v>Jan</v>
      </c>
      <c r="H1438" s="3" t="str">
        <f t="shared" si="134"/>
        <v>Q1</v>
      </c>
      <c r="I1438" s="3">
        <f t="shared" si="135"/>
        <v>3.5462369997113746E-2</v>
      </c>
      <c r="J1438" s="3">
        <f t="shared" si="136"/>
        <v>-2.2316994029824101E-2</v>
      </c>
      <c r="K1438" s="3" t="str">
        <f t="shared" si="137"/>
        <v>Normal</v>
      </c>
      <c r="L1438" s="4">
        <f>VALUE(A1438)</f>
        <v>43479</v>
      </c>
    </row>
    <row r="1439" spans="1:12">
      <c r="A1439" s="5">
        <v>43480</v>
      </c>
      <c r="B1439" s="3">
        <v>1674.5600589999999</v>
      </c>
      <c r="C1439" s="3">
        <v>247.23332199999999</v>
      </c>
      <c r="D1439" s="3">
        <v>3621.23999</v>
      </c>
      <c r="E1439" s="3">
        <v>354.64001500000001</v>
      </c>
      <c r="F1439" s="3">
        <f t="shared" si="132"/>
        <v>2019</v>
      </c>
      <c r="G1439" s="3" t="str">
        <f t="shared" si="133"/>
        <v>Jan</v>
      </c>
      <c r="H1439" s="3" t="str">
        <f t="shared" si="134"/>
        <v>Q1</v>
      </c>
      <c r="I1439" s="3">
        <f t="shared" si="135"/>
        <v>5.5059058350561694E-3</v>
      </c>
      <c r="J1439" s="3">
        <f t="shared" si="136"/>
        <v>6.2823784291634313E-3</v>
      </c>
      <c r="K1439" s="3" t="str">
        <f t="shared" si="137"/>
        <v>Normal</v>
      </c>
      <c r="L1439" s="4">
        <f>VALUE(A1439)</f>
        <v>43480</v>
      </c>
    </row>
    <row r="1440" spans="1:12">
      <c r="A1440" s="5">
        <v>43481</v>
      </c>
      <c r="B1440" s="3">
        <v>1683.780029</v>
      </c>
      <c r="C1440" s="3">
        <v>246.196091</v>
      </c>
      <c r="D1440" s="3">
        <v>3643.98999</v>
      </c>
      <c r="E1440" s="3">
        <v>351.39001500000001</v>
      </c>
      <c r="F1440" s="3">
        <f t="shared" si="132"/>
        <v>2019</v>
      </c>
      <c r="G1440" s="3" t="str">
        <f t="shared" si="133"/>
        <v>Jan</v>
      </c>
      <c r="H1440" s="3" t="str">
        <f t="shared" si="134"/>
        <v>Q1</v>
      </c>
      <c r="I1440" s="3">
        <f t="shared" si="135"/>
        <v>5.6063986016073441E-3</v>
      </c>
      <c r="J1440" s="3">
        <f t="shared" si="136"/>
        <v>1.1336490800843256E-2</v>
      </c>
      <c r="K1440" s="3" t="str">
        <f t="shared" si="137"/>
        <v>Normal</v>
      </c>
      <c r="L1440" s="4">
        <f>VALUE(A1440)</f>
        <v>43481</v>
      </c>
    </row>
    <row r="1441" spans="1:12">
      <c r="A1441" s="5">
        <v>43482</v>
      </c>
      <c r="B1441" s="3">
        <v>1693.219971</v>
      </c>
      <c r="C1441" s="3">
        <v>258.25405899999998</v>
      </c>
      <c r="D1441" s="3">
        <v>3685.3000489999999</v>
      </c>
      <c r="E1441" s="3">
        <v>353.19000199999999</v>
      </c>
      <c r="F1441" s="3">
        <f t="shared" si="132"/>
        <v>2019</v>
      </c>
      <c r="G1441" s="3" t="str">
        <f t="shared" si="133"/>
        <v>Jan</v>
      </c>
      <c r="H1441" s="3" t="str">
        <f t="shared" si="134"/>
        <v>Q1</v>
      </c>
      <c r="I1441" s="3">
        <f t="shared" si="135"/>
        <v>1.7599485306330992E-3</v>
      </c>
      <c r="J1441" s="3">
        <f t="shared" si="136"/>
        <v>-1.0107725152557857E-2</v>
      </c>
      <c r="K1441" s="3" t="str">
        <f t="shared" si="137"/>
        <v>Normal</v>
      </c>
      <c r="L1441" s="4">
        <f>VALUE(A1441)</f>
        <v>43482</v>
      </c>
    </row>
    <row r="1442" spans="1:12">
      <c r="A1442" s="5">
        <v>43483</v>
      </c>
      <c r="B1442" s="3">
        <v>1696.1999510000001</v>
      </c>
      <c r="C1442" s="3">
        <v>266.751465</v>
      </c>
      <c r="D1442" s="3">
        <v>3648.0500489999999</v>
      </c>
      <c r="E1442" s="3">
        <v>339.10000600000001</v>
      </c>
      <c r="F1442" s="3">
        <f t="shared" si="132"/>
        <v>2019</v>
      </c>
      <c r="G1442" s="3" t="str">
        <f t="shared" si="133"/>
        <v>Jan</v>
      </c>
      <c r="H1442" s="3" t="str">
        <f t="shared" si="134"/>
        <v>Q1</v>
      </c>
      <c r="I1442" s="3">
        <f t="shared" si="135"/>
        <v>-3.7749032454723899E-2</v>
      </c>
      <c r="J1442" s="3">
        <f t="shared" si="136"/>
        <v>-1.2612220057839444E-2</v>
      </c>
      <c r="K1442" s="3" t="str">
        <f t="shared" si="137"/>
        <v>Normal</v>
      </c>
      <c r="L1442" s="4">
        <f>VALUE(A1442)</f>
        <v>43483</v>
      </c>
    </row>
    <row r="1443" spans="1:12">
      <c r="A1443" s="5">
        <v>43487</v>
      </c>
      <c r="B1443" s="3">
        <v>1632.170044</v>
      </c>
      <c r="C1443" s="3">
        <v>262.732147</v>
      </c>
      <c r="D1443" s="3">
        <v>3602.040039</v>
      </c>
      <c r="E1443" s="3">
        <v>325.16000400000001</v>
      </c>
      <c r="F1443" s="3">
        <f t="shared" si="132"/>
        <v>2019</v>
      </c>
      <c r="G1443" s="3" t="str">
        <f t="shared" si="133"/>
        <v>Jan</v>
      </c>
      <c r="H1443" s="3" t="str">
        <f t="shared" si="134"/>
        <v>Q1</v>
      </c>
      <c r="I1443" s="3">
        <f t="shared" si="135"/>
        <v>4.8095331910159534E-3</v>
      </c>
      <c r="J1443" s="3">
        <f t="shared" si="136"/>
        <v>-8.3258347145763172E-3</v>
      </c>
      <c r="K1443" s="3" t="str">
        <f t="shared" si="137"/>
        <v>Normal</v>
      </c>
      <c r="L1443" s="4">
        <f>VALUE(A1443)</f>
        <v>43487</v>
      </c>
    </row>
    <row r="1444" spans="1:12">
      <c r="A1444" s="5">
        <v>43488</v>
      </c>
      <c r="B1444" s="3">
        <v>1640.0200199999999</v>
      </c>
      <c r="C1444" s="3">
        <v>272.43637100000001</v>
      </c>
      <c r="D1444" s="3">
        <v>3572.0500489999999</v>
      </c>
      <c r="E1444" s="3">
        <v>321.98998999999998</v>
      </c>
      <c r="F1444" s="3">
        <f t="shared" si="132"/>
        <v>2019</v>
      </c>
      <c r="G1444" s="3" t="str">
        <f t="shared" si="133"/>
        <v>Jan</v>
      </c>
      <c r="H1444" s="3" t="str">
        <f t="shared" si="134"/>
        <v>Q1</v>
      </c>
      <c r="I1444" s="3">
        <f t="shared" si="135"/>
        <v>9.0913731650666043E-3</v>
      </c>
      <c r="J1444" s="3">
        <f t="shared" si="136"/>
        <v>7.410302385715533E-3</v>
      </c>
      <c r="K1444" s="3" t="str">
        <f t="shared" si="137"/>
        <v>Normal</v>
      </c>
      <c r="L1444" s="4">
        <f>VALUE(A1444)</f>
        <v>43488</v>
      </c>
    </row>
    <row r="1445" spans="1:12">
      <c r="A1445" s="5">
        <v>43489</v>
      </c>
      <c r="B1445" s="3">
        <v>1654.9300539999999</v>
      </c>
      <c r="C1445" s="3">
        <v>276.146545</v>
      </c>
      <c r="D1445" s="3">
        <v>3598.5200199999999</v>
      </c>
      <c r="E1445" s="3">
        <v>326.67001299999998</v>
      </c>
      <c r="F1445" s="3">
        <f t="shared" si="132"/>
        <v>2019</v>
      </c>
      <c r="G1445" s="3" t="str">
        <f t="shared" si="133"/>
        <v>Jan</v>
      </c>
      <c r="H1445" s="3" t="str">
        <f t="shared" si="134"/>
        <v>Q1</v>
      </c>
      <c r="I1445" s="3">
        <f t="shared" si="135"/>
        <v>9.4504852106578191E-3</v>
      </c>
      <c r="J1445" s="3">
        <f t="shared" si="136"/>
        <v>-4.3434875763175276E-3</v>
      </c>
      <c r="K1445" s="3" t="str">
        <f t="shared" si="137"/>
        <v>Normal</v>
      </c>
      <c r="L1445" s="4">
        <f>VALUE(A1445)</f>
        <v>43489</v>
      </c>
    </row>
    <row r="1446" spans="1:12">
      <c r="A1446" s="5">
        <v>43490</v>
      </c>
      <c r="B1446" s="3">
        <v>1670.5699460000001</v>
      </c>
      <c r="C1446" s="3">
        <v>283.40725700000002</v>
      </c>
      <c r="D1446" s="3">
        <v>3582.889893</v>
      </c>
      <c r="E1446" s="3">
        <v>338.04998799999998</v>
      </c>
      <c r="F1446" s="3">
        <f t="shared" si="132"/>
        <v>2019</v>
      </c>
      <c r="G1446" s="3" t="str">
        <f t="shared" si="133"/>
        <v>Jan</v>
      </c>
      <c r="H1446" s="3" t="str">
        <f t="shared" si="134"/>
        <v>Q1</v>
      </c>
      <c r="I1446" s="3">
        <f t="shared" si="135"/>
        <v>-1.9562144690947362E-2</v>
      </c>
      <c r="J1446" s="3">
        <f t="shared" si="136"/>
        <v>-3.6135626510027385E-2</v>
      </c>
      <c r="K1446" s="3" t="str">
        <f t="shared" si="137"/>
        <v>Normal</v>
      </c>
      <c r="L1446" s="4">
        <f>VALUE(A1446)</f>
        <v>43490</v>
      </c>
    </row>
    <row r="1447" spans="1:12">
      <c r="A1447" s="5">
        <v>43493</v>
      </c>
      <c r="B1447" s="3">
        <v>1637.8900149999999</v>
      </c>
      <c r="C1447" s="3">
        <v>279.04882800000001</v>
      </c>
      <c r="D1447" s="3">
        <v>3453.419922</v>
      </c>
      <c r="E1447" s="3">
        <v>335.66000400000001</v>
      </c>
      <c r="F1447" s="3">
        <f t="shared" si="132"/>
        <v>2019</v>
      </c>
      <c r="G1447" s="3" t="str">
        <f t="shared" si="133"/>
        <v>Jan</v>
      </c>
      <c r="H1447" s="3" t="str">
        <f t="shared" si="134"/>
        <v>Q1</v>
      </c>
      <c r="I1447" s="3">
        <f t="shared" si="135"/>
        <v>-2.6869942179847752E-2</v>
      </c>
      <c r="J1447" s="3">
        <f t="shared" si="136"/>
        <v>-1.0184084992372394E-2</v>
      </c>
      <c r="K1447" s="3" t="str">
        <f t="shared" si="137"/>
        <v>Normal</v>
      </c>
      <c r="L1447" s="4">
        <f>VALUE(A1447)</f>
        <v>43493</v>
      </c>
    </row>
    <row r="1448" spans="1:12">
      <c r="A1448" s="5">
        <v>43494</v>
      </c>
      <c r="B1448" s="3">
        <v>1593.880005</v>
      </c>
      <c r="C1448" s="3">
        <v>274.12191799999999</v>
      </c>
      <c r="D1448" s="3">
        <v>3418.25</v>
      </c>
      <c r="E1448" s="3">
        <v>328.89999399999999</v>
      </c>
      <c r="F1448" s="3">
        <f t="shared" si="132"/>
        <v>2019</v>
      </c>
      <c r="G1448" s="3" t="str">
        <f t="shared" si="133"/>
        <v>Jan</v>
      </c>
      <c r="H1448" s="3" t="str">
        <f t="shared" si="134"/>
        <v>Q1</v>
      </c>
      <c r="I1448" s="3">
        <f t="shared" si="135"/>
        <v>4.8027485607362232E-2</v>
      </c>
      <c r="J1448" s="3">
        <f t="shared" si="136"/>
        <v>1.4323107145469178E-2</v>
      </c>
      <c r="K1448" s="3" t="str">
        <f t="shared" si="137"/>
        <v>Normal</v>
      </c>
      <c r="L1448" s="4">
        <f>VALUE(A1448)</f>
        <v>43494</v>
      </c>
    </row>
    <row r="1449" spans="1:12">
      <c r="A1449" s="5">
        <v>43495</v>
      </c>
      <c r="B1449" s="3">
        <v>1670.4300539999999</v>
      </c>
      <c r="C1449" s="3">
        <v>276.32605000000001</v>
      </c>
      <c r="D1449" s="3">
        <v>3467.209961</v>
      </c>
      <c r="E1449" s="3">
        <v>340.66000400000001</v>
      </c>
      <c r="F1449" s="3">
        <f t="shared" si="132"/>
        <v>2019</v>
      </c>
      <c r="G1449" s="3" t="str">
        <f t="shared" si="133"/>
        <v>Jan</v>
      </c>
      <c r="H1449" s="3" t="str">
        <f t="shared" si="134"/>
        <v>Q1</v>
      </c>
      <c r="I1449" s="3">
        <f t="shared" si="135"/>
        <v>2.8914665348807322E-2</v>
      </c>
      <c r="J1449" s="3">
        <f t="shared" si="136"/>
        <v>-9.540834957240122E-3</v>
      </c>
      <c r="K1449" s="3" t="str">
        <f t="shared" si="137"/>
        <v>Normal</v>
      </c>
      <c r="L1449" s="4">
        <f>VALUE(A1449)</f>
        <v>43495</v>
      </c>
    </row>
    <row r="1450" spans="1:12">
      <c r="A1450" s="5">
        <v>43496</v>
      </c>
      <c r="B1450" s="3">
        <v>1718.7299800000001</v>
      </c>
      <c r="C1450" s="3">
        <v>282.97839399999998</v>
      </c>
      <c r="D1450" s="3">
        <v>3434.1298830000001</v>
      </c>
      <c r="E1450" s="3">
        <v>339.5</v>
      </c>
      <c r="F1450" s="3">
        <f t="shared" si="132"/>
        <v>2019</v>
      </c>
      <c r="G1450" s="3" t="str">
        <f t="shared" si="133"/>
        <v>Jan</v>
      </c>
      <c r="H1450" s="3" t="str">
        <f t="shared" si="134"/>
        <v>Q1</v>
      </c>
      <c r="I1450" s="3">
        <f t="shared" si="135"/>
        <v>-5.381880869966555E-2</v>
      </c>
      <c r="J1450" s="3">
        <f t="shared" si="136"/>
        <v>8.0078508783646956E-3</v>
      </c>
      <c r="K1450" s="3" t="str">
        <f t="shared" si="137"/>
        <v>Normal</v>
      </c>
      <c r="L1450" s="4">
        <f>VALUE(A1450)</f>
        <v>43496</v>
      </c>
    </row>
    <row r="1451" spans="1:12">
      <c r="A1451" s="5">
        <v>43497</v>
      </c>
      <c r="B1451" s="3">
        <v>1626.2299800000001</v>
      </c>
      <c r="C1451" s="3">
        <v>277.65252700000002</v>
      </c>
      <c r="D1451" s="3">
        <v>3461.6298830000001</v>
      </c>
      <c r="E1451" s="3">
        <v>339.85000600000001</v>
      </c>
      <c r="F1451" s="3">
        <f t="shared" si="132"/>
        <v>2019</v>
      </c>
      <c r="G1451" s="3" t="str">
        <f t="shared" si="133"/>
        <v>Feb</v>
      </c>
      <c r="H1451" s="3" t="str">
        <f t="shared" si="134"/>
        <v>Q1</v>
      </c>
      <c r="I1451" s="3">
        <f t="shared" si="135"/>
        <v>4.3536763477942039E-3</v>
      </c>
      <c r="J1451" s="3">
        <f t="shared" si="136"/>
        <v>-8.7790705613110826E-3</v>
      </c>
      <c r="K1451" s="3" t="str">
        <f t="shared" si="137"/>
        <v>Normal</v>
      </c>
      <c r="L1451" s="4">
        <f>VALUE(A1451)</f>
        <v>43497</v>
      </c>
    </row>
    <row r="1452" spans="1:12">
      <c r="A1452" s="5">
        <v>43500</v>
      </c>
      <c r="B1452" s="3">
        <v>1633.3100589999999</v>
      </c>
      <c r="C1452" s="3">
        <v>280.32543900000002</v>
      </c>
      <c r="D1452" s="3">
        <v>3431.23999</v>
      </c>
      <c r="E1452" s="3">
        <v>351.33999599999999</v>
      </c>
      <c r="F1452" s="3">
        <f t="shared" si="132"/>
        <v>2019</v>
      </c>
      <c r="G1452" s="3" t="str">
        <f t="shared" si="133"/>
        <v>Feb</v>
      </c>
      <c r="H1452" s="3" t="str">
        <f t="shared" si="134"/>
        <v>Q1</v>
      </c>
      <c r="I1452" s="3">
        <f t="shared" si="135"/>
        <v>1.5612467369246761E-2</v>
      </c>
      <c r="J1452" s="3">
        <f t="shared" si="136"/>
        <v>4.785419279285108E-3</v>
      </c>
      <c r="K1452" s="3" t="str">
        <f t="shared" si="137"/>
        <v>Normal</v>
      </c>
      <c r="L1452" s="4">
        <f>VALUE(A1452)</f>
        <v>43500</v>
      </c>
    </row>
    <row r="1453" spans="1:12">
      <c r="A1453" s="5">
        <v>43501</v>
      </c>
      <c r="B1453" s="3">
        <v>1658.8100589999999</v>
      </c>
      <c r="C1453" s="3">
        <v>288.52365099999997</v>
      </c>
      <c r="D1453" s="3">
        <v>3447.6599120000001</v>
      </c>
      <c r="E1453" s="3">
        <v>355.80999800000001</v>
      </c>
      <c r="F1453" s="3">
        <f t="shared" si="132"/>
        <v>2019</v>
      </c>
      <c r="G1453" s="3" t="str">
        <f t="shared" si="133"/>
        <v>Feb</v>
      </c>
      <c r="H1453" s="3" t="str">
        <f t="shared" si="134"/>
        <v>Q1</v>
      </c>
      <c r="I1453" s="3">
        <f t="shared" si="135"/>
        <v>-1.1182744461522429E-2</v>
      </c>
      <c r="J1453" s="3">
        <f t="shared" si="136"/>
        <v>-1.530603955927543E-2</v>
      </c>
      <c r="K1453" s="3" t="str">
        <f t="shared" si="137"/>
        <v>Normal</v>
      </c>
      <c r="L1453" s="4">
        <f>VALUE(A1453)</f>
        <v>43501</v>
      </c>
    </row>
    <row r="1454" spans="1:12">
      <c r="A1454" s="5">
        <v>43502</v>
      </c>
      <c r="B1454" s="3">
        <v>1640.26001</v>
      </c>
      <c r="C1454" s="3">
        <v>287.12738000000002</v>
      </c>
      <c r="D1454" s="3">
        <v>3394.889893</v>
      </c>
      <c r="E1454" s="3">
        <v>352.19000199999999</v>
      </c>
      <c r="F1454" s="3">
        <f t="shared" si="132"/>
        <v>2019</v>
      </c>
      <c r="G1454" s="3" t="str">
        <f t="shared" si="133"/>
        <v>Feb</v>
      </c>
      <c r="H1454" s="3" t="str">
        <f t="shared" si="134"/>
        <v>Q1</v>
      </c>
      <c r="I1454" s="3">
        <f t="shared" si="135"/>
        <v>-1.5784092059892351E-2</v>
      </c>
      <c r="J1454" s="3">
        <f t="shared" si="136"/>
        <v>-5.7615462110659011E-3</v>
      </c>
      <c r="K1454" s="3" t="str">
        <f t="shared" si="137"/>
        <v>Normal</v>
      </c>
      <c r="L1454" s="4">
        <f>VALUE(A1454)</f>
        <v>43502</v>
      </c>
    </row>
    <row r="1455" spans="1:12">
      <c r="A1455" s="5">
        <v>43503</v>
      </c>
      <c r="B1455" s="3">
        <v>1614.369995</v>
      </c>
      <c r="C1455" s="3">
        <v>288.12472500000001</v>
      </c>
      <c r="D1455" s="3">
        <v>3375.330078</v>
      </c>
      <c r="E1455" s="3">
        <v>344.709991</v>
      </c>
      <c r="F1455" s="3">
        <f t="shared" si="132"/>
        <v>2019</v>
      </c>
      <c r="G1455" s="3" t="str">
        <f t="shared" si="133"/>
        <v>Feb</v>
      </c>
      <c r="H1455" s="3" t="str">
        <f t="shared" si="134"/>
        <v>Q1</v>
      </c>
      <c r="I1455" s="3">
        <f t="shared" si="135"/>
        <v>-1.6198284210553623E-2</v>
      </c>
      <c r="J1455" s="3">
        <f t="shared" si="136"/>
        <v>8.4347291796923948E-2</v>
      </c>
      <c r="K1455" s="3" t="str">
        <f t="shared" si="137"/>
        <v>High Volatility</v>
      </c>
      <c r="L1455" s="4">
        <f>VALUE(A1455)</f>
        <v>43503</v>
      </c>
    </row>
    <row r="1456" spans="1:12">
      <c r="A1456" s="5">
        <v>43504</v>
      </c>
      <c r="B1456" s="3">
        <v>1588.219971</v>
      </c>
      <c r="C1456" s="3">
        <v>289.39135700000003</v>
      </c>
      <c r="D1456" s="3">
        <v>3660.030029</v>
      </c>
      <c r="E1456" s="3">
        <v>347.57000699999998</v>
      </c>
      <c r="F1456" s="3">
        <f t="shared" si="132"/>
        <v>2019</v>
      </c>
      <c r="G1456" s="3" t="str">
        <f t="shared" si="133"/>
        <v>Feb</v>
      </c>
      <c r="H1456" s="3" t="str">
        <f t="shared" si="134"/>
        <v>Q1</v>
      </c>
      <c r="I1456" s="3">
        <f t="shared" si="135"/>
        <v>1.7504055173475797E-3</v>
      </c>
      <c r="J1456" s="3">
        <f t="shared" si="136"/>
        <v>-1.3303153420657382E-2</v>
      </c>
      <c r="K1456" s="3" t="str">
        <f t="shared" si="137"/>
        <v>Normal</v>
      </c>
      <c r="L1456" s="4">
        <f>VALUE(A1456)</f>
        <v>43504</v>
      </c>
    </row>
    <row r="1457" spans="1:12">
      <c r="A1457" s="5">
        <v>43507</v>
      </c>
      <c r="B1457" s="3">
        <v>1591</v>
      </c>
      <c r="C1457" s="3">
        <v>294.07888800000001</v>
      </c>
      <c r="D1457" s="3">
        <v>3611.3400879999999</v>
      </c>
      <c r="E1457" s="3">
        <v>345.73001099999999</v>
      </c>
      <c r="F1457" s="3">
        <f t="shared" si="132"/>
        <v>2019</v>
      </c>
      <c r="G1457" s="3" t="str">
        <f t="shared" si="133"/>
        <v>Feb</v>
      </c>
      <c r="H1457" s="3" t="str">
        <f t="shared" si="134"/>
        <v>Q1</v>
      </c>
      <c r="I1457" s="3">
        <f t="shared" si="135"/>
        <v>2.9547460716530461E-2</v>
      </c>
      <c r="J1457" s="3">
        <f t="shared" si="136"/>
        <v>1.680767762684375E-3</v>
      </c>
      <c r="K1457" s="3" t="str">
        <f t="shared" si="137"/>
        <v>Normal</v>
      </c>
      <c r="L1457" s="4">
        <f>VALUE(A1457)</f>
        <v>43507</v>
      </c>
    </row>
    <row r="1458" spans="1:12">
      <c r="A1458" s="5">
        <v>43508</v>
      </c>
      <c r="B1458" s="3">
        <v>1638.01001</v>
      </c>
      <c r="C1458" s="3">
        <v>286.44915800000001</v>
      </c>
      <c r="D1458" s="3">
        <v>3617.4099120000001</v>
      </c>
      <c r="E1458" s="3">
        <v>359.97000100000002</v>
      </c>
      <c r="F1458" s="3">
        <f t="shared" si="132"/>
        <v>2019</v>
      </c>
      <c r="G1458" s="3" t="str">
        <f t="shared" si="133"/>
        <v>Feb</v>
      </c>
      <c r="H1458" s="3" t="str">
        <f t="shared" si="134"/>
        <v>Q1</v>
      </c>
      <c r="I1458" s="3">
        <f t="shared" si="135"/>
        <v>1.2148826856070523E-3</v>
      </c>
      <c r="J1458" s="3">
        <f t="shared" si="136"/>
        <v>-3.1900711505542367E-3</v>
      </c>
      <c r="K1458" s="3" t="str">
        <f t="shared" si="137"/>
        <v>Normal</v>
      </c>
      <c r="L1458" s="4">
        <f>VALUE(A1458)</f>
        <v>43508</v>
      </c>
    </row>
    <row r="1459" spans="1:12">
      <c r="A1459" s="5">
        <v>43509</v>
      </c>
      <c r="B1459" s="3">
        <v>1640</v>
      </c>
      <c r="C1459" s="3">
        <v>288.034943</v>
      </c>
      <c r="D1459" s="3">
        <v>3605.8701169999999</v>
      </c>
      <c r="E1459" s="3">
        <v>351.76998900000001</v>
      </c>
      <c r="F1459" s="3">
        <f t="shared" si="132"/>
        <v>2019</v>
      </c>
      <c r="G1459" s="3" t="str">
        <f t="shared" si="133"/>
        <v>Feb</v>
      </c>
      <c r="H1459" s="3" t="str">
        <f t="shared" si="134"/>
        <v>Q1</v>
      </c>
      <c r="I1459" s="3">
        <f t="shared" si="135"/>
        <v>-1.0579253658536568E-2</v>
      </c>
      <c r="J1459" s="3">
        <f t="shared" si="136"/>
        <v>-4.7561740837932546E-3</v>
      </c>
      <c r="K1459" s="3" t="str">
        <f t="shared" si="137"/>
        <v>Normal</v>
      </c>
      <c r="L1459" s="4">
        <f>VALUE(A1459)</f>
        <v>43509</v>
      </c>
    </row>
    <row r="1460" spans="1:12">
      <c r="A1460" s="5">
        <v>43510</v>
      </c>
      <c r="B1460" s="3">
        <v>1622.650024</v>
      </c>
      <c r="C1460" s="3">
        <v>286.41922</v>
      </c>
      <c r="D1460" s="3">
        <v>3588.719971</v>
      </c>
      <c r="E1460" s="3">
        <v>359.07000699999998</v>
      </c>
      <c r="F1460" s="3">
        <f t="shared" si="132"/>
        <v>2019</v>
      </c>
      <c r="G1460" s="3" t="str">
        <f t="shared" si="133"/>
        <v>Feb</v>
      </c>
      <c r="H1460" s="3" t="str">
        <f t="shared" si="134"/>
        <v>Q1</v>
      </c>
      <c r="I1460" s="3">
        <f t="shared" si="135"/>
        <v>-9.0592997766473244E-3</v>
      </c>
      <c r="J1460" s="3">
        <f t="shared" si="136"/>
        <v>1.3291700212181442E-3</v>
      </c>
      <c r="K1460" s="3" t="str">
        <f t="shared" si="137"/>
        <v>Normal</v>
      </c>
      <c r="L1460" s="4">
        <f>VALUE(A1460)</f>
        <v>43510</v>
      </c>
    </row>
    <row r="1461" spans="1:12">
      <c r="A1461" s="5">
        <v>43511</v>
      </c>
      <c r="B1461" s="3">
        <v>1607.9499510000001</v>
      </c>
      <c r="C1461" s="3">
        <v>280.90386999999998</v>
      </c>
      <c r="D1461" s="3">
        <v>3593.48999</v>
      </c>
      <c r="E1461" s="3">
        <v>356.86999500000002</v>
      </c>
      <c r="F1461" s="3">
        <f t="shared" si="132"/>
        <v>2019</v>
      </c>
      <c r="G1461" s="3" t="str">
        <f t="shared" si="133"/>
        <v>Feb</v>
      </c>
      <c r="H1461" s="3" t="str">
        <f t="shared" si="134"/>
        <v>Q1</v>
      </c>
      <c r="I1461" s="3">
        <f t="shared" si="135"/>
        <v>1.2208094529181016E-2</v>
      </c>
      <c r="J1461" s="3">
        <f t="shared" si="136"/>
        <v>9.2041441863039669E-2</v>
      </c>
      <c r="K1461" s="3" t="str">
        <f t="shared" si="137"/>
        <v>High Volatility</v>
      </c>
      <c r="L1461" s="4">
        <f>VALUE(A1461)</f>
        <v>43511</v>
      </c>
    </row>
    <row r="1462" spans="1:12">
      <c r="A1462" s="5">
        <v>43515</v>
      </c>
      <c r="B1462" s="3">
        <v>1627.579956</v>
      </c>
      <c r="C1462" s="3">
        <v>278.49032599999998</v>
      </c>
      <c r="D1462" s="3">
        <v>3924.23999</v>
      </c>
      <c r="E1462" s="3">
        <v>361.92001299999998</v>
      </c>
      <c r="F1462" s="3">
        <f t="shared" si="132"/>
        <v>2019</v>
      </c>
      <c r="G1462" s="3" t="str">
        <f t="shared" si="133"/>
        <v>Feb</v>
      </c>
      <c r="H1462" s="3" t="str">
        <f t="shared" si="134"/>
        <v>Q1</v>
      </c>
      <c r="I1462" s="3">
        <f t="shared" si="135"/>
        <v>-3.3669497954913795E-3</v>
      </c>
      <c r="J1462" s="3">
        <f t="shared" si="136"/>
        <v>1.2692918661174927E-2</v>
      </c>
      <c r="K1462" s="3" t="str">
        <f t="shared" si="137"/>
        <v>Normal</v>
      </c>
      <c r="L1462" s="4">
        <f>VALUE(A1462)</f>
        <v>43515</v>
      </c>
    </row>
    <row r="1463" spans="1:12">
      <c r="A1463" s="5">
        <v>43516</v>
      </c>
      <c r="B1463" s="3">
        <v>1622.099976</v>
      </c>
      <c r="C1463" s="3">
        <v>277.75225799999998</v>
      </c>
      <c r="D1463" s="3">
        <v>3974.0500489999999</v>
      </c>
      <c r="E1463" s="3">
        <v>359.91000400000001</v>
      </c>
      <c r="F1463" s="3">
        <f t="shared" si="132"/>
        <v>2019</v>
      </c>
      <c r="G1463" s="3" t="str">
        <f t="shared" si="133"/>
        <v>Feb</v>
      </c>
      <c r="H1463" s="3" t="str">
        <f t="shared" si="134"/>
        <v>Q1</v>
      </c>
      <c r="I1463" s="3">
        <f t="shared" si="135"/>
        <v>-1.6398711789388991E-3</v>
      </c>
      <c r="J1463" s="3">
        <f t="shared" si="136"/>
        <v>-9.3129199541190696E-3</v>
      </c>
      <c r="K1463" s="3" t="str">
        <f t="shared" si="137"/>
        <v>Normal</v>
      </c>
      <c r="L1463" s="4">
        <f>VALUE(A1463)</f>
        <v>43516</v>
      </c>
    </row>
    <row r="1464" spans="1:12">
      <c r="A1464" s="5">
        <v>43517</v>
      </c>
      <c r="B1464" s="3">
        <v>1619.4399410000001</v>
      </c>
      <c r="C1464" s="3">
        <v>252.339752</v>
      </c>
      <c r="D1464" s="3">
        <v>3937.040039</v>
      </c>
      <c r="E1464" s="3">
        <v>356.97000100000002</v>
      </c>
      <c r="F1464" s="3">
        <f t="shared" si="132"/>
        <v>2019</v>
      </c>
      <c r="G1464" s="3" t="str">
        <f t="shared" si="133"/>
        <v>Feb</v>
      </c>
      <c r="H1464" s="3" t="str">
        <f t="shared" si="134"/>
        <v>Q1</v>
      </c>
      <c r="I1464" s="3">
        <f t="shared" si="135"/>
        <v>7.484141704270723E-3</v>
      </c>
      <c r="J1464" s="3">
        <f t="shared" si="136"/>
        <v>1.1808360986800732E-2</v>
      </c>
      <c r="K1464" s="3" t="str">
        <f t="shared" si="137"/>
        <v>Normal</v>
      </c>
      <c r="L1464" s="4">
        <f>VALUE(A1464)</f>
        <v>43517</v>
      </c>
    </row>
    <row r="1465" spans="1:12">
      <c r="A1465" s="5">
        <v>43518</v>
      </c>
      <c r="B1465" s="3">
        <v>1631.5600589999999</v>
      </c>
      <c r="C1465" s="3">
        <v>260.01934799999998</v>
      </c>
      <c r="D1465" s="3">
        <v>3983.530029</v>
      </c>
      <c r="E1465" s="3">
        <v>363.01998900000001</v>
      </c>
      <c r="F1465" s="3">
        <f t="shared" si="132"/>
        <v>2019</v>
      </c>
      <c r="G1465" s="3" t="str">
        <f t="shared" si="133"/>
        <v>Feb</v>
      </c>
      <c r="H1465" s="3" t="str">
        <f t="shared" si="134"/>
        <v>Q1</v>
      </c>
      <c r="I1465" s="3">
        <f t="shared" si="135"/>
        <v>8.8255470097904003E-4</v>
      </c>
      <c r="J1465" s="3">
        <f t="shared" si="136"/>
        <v>-3.4647666264649123E-2</v>
      </c>
      <c r="K1465" s="3" t="str">
        <f t="shared" si="137"/>
        <v>Normal</v>
      </c>
      <c r="L1465" s="4">
        <f>VALUE(A1465)</f>
        <v>43518</v>
      </c>
    </row>
    <row r="1466" spans="1:12">
      <c r="A1466" s="5">
        <v>43521</v>
      </c>
      <c r="B1466" s="3">
        <v>1633</v>
      </c>
      <c r="C1466" s="3">
        <v>255.26199299999999</v>
      </c>
      <c r="D1466" s="3">
        <v>3845.51001</v>
      </c>
      <c r="E1466" s="3">
        <v>363.91000400000001</v>
      </c>
      <c r="F1466" s="3">
        <f t="shared" si="132"/>
        <v>2019</v>
      </c>
      <c r="G1466" s="3" t="str">
        <f t="shared" si="133"/>
        <v>Feb</v>
      </c>
      <c r="H1466" s="3" t="str">
        <f t="shared" si="134"/>
        <v>Q1</v>
      </c>
      <c r="I1466" s="3">
        <f t="shared" si="135"/>
        <v>2.0820722596448442E-3</v>
      </c>
      <c r="J1466" s="3">
        <f t="shared" si="136"/>
        <v>-7.1850357763078359E-3</v>
      </c>
      <c r="K1466" s="3" t="str">
        <f t="shared" si="137"/>
        <v>Normal</v>
      </c>
      <c r="L1466" s="4">
        <f>VALUE(A1466)</f>
        <v>43521</v>
      </c>
    </row>
    <row r="1467" spans="1:12">
      <c r="A1467" s="5">
        <v>43522</v>
      </c>
      <c r="B1467" s="3">
        <v>1636.400024</v>
      </c>
      <c r="C1467" s="3">
        <v>252.140289</v>
      </c>
      <c r="D1467" s="3">
        <v>3817.8798830000001</v>
      </c>
      <c r="E1467" s="3">
        <v>364.97000100000002</v>
      </c>
      <c r="F1467" s="3">
        <f t="shared" si="132"/>
        <v>2019</v>
      </c>
      <c r="G1467" s="3" t="str">
        <f t="shared" si="133"/>
        <v>Feb</v>
      </c>
      <c r="H1467" s="3" t="str">
        <f t="shared" si="134"/>
        <v>Q1</v>
      </c>
      <c r="I1467" s="3">
        <f t="shared" si="135"/>
        <v>2.866011935477687E-3</v>
      </c>
      <c r="J1467" s="3">
        <f t="shared" si="136"/>
        <v>3.3631461422276294E-3</v>
      </c>
      <c r="K1467" s="3" t="str">
        <f t="shared" si="137"/>
        <v>Normal</v>
      </c>
      <c r="L1467" s="4">
        <f>VALUE(A1467)</f>
        <v>43522</v>
      </c>
    </row>
    <row r="1468" spans="1:12">
      <c r="A1468" s="5">
        <v>43523</v>
      </c>
      <c r="B1468" s="3">
        <v>1641.089966</v>
      </c>
      <c r="C1468" s="3">
        <v>251.84108000000001</v>
      </c>
      <c r="D1468" s="3">
        <v>3830.719971</v>
      </c>
      <c r="E1468" s="3">
        <v>362.86999500000002</v>
      </c>
      <c r="F1468" s="3">
        <f t="shared" si="132"/>
        <v>2019</v>
      </c>
      <c r="G1468" s="3" t="str">
        <f t="shared" si="133"/>
        <v>Feb</v>
      </c>
      <c r="H1468" s="3" t="str">
        <f t="shared" si="134"/>
        <v>Q1</v>
      </c>
      <c r="I1468" s="3">
        <f t="shared" si="135"/>
        <v>-7.6778849795244299E-4</v>
      </c>
      <c r="J1468" s="3">
        <f t="shared" si="136"/>
        <v>-1.9186612583642832E-3</v>
      </c>
      <c r="K1468" s="3" t="str">
        <f t="shared" si="137"/>
        <v>Normal</v>
      </c>
      <c r="L1468" s="4">
        <f>VALUE(A1468)</f>
        <v>43523</v>
      </c>
    </row>
    <row r="1469" spans="1:12">
      <c r="A1469" s="5">
        <v>43524</v>
      </c>
      <c r="B1469" s="3">
        <v>1639.829956</v>
      </c>
      <c r="C1469" s="3">
        <v>250.275238</v>
      </c>
      <c r="D1469" s="3">
        <v>3823.3701169999999</v>
      </c>
      <c r="E1469" s="3">
        <v>358.10000600000001</v>
      </c>
      <c r="F1469" s="3">
        <f t="shared" si="132"/>
        <v>2019</v>
      </c>
      <c r="G1469" s="3" t="str">
        <f t="shared" si="133"/>
        <v>Feb</v>
      </c>
      <c r="H1469" s="3" t="str">
        <f t="shared" si="134"/>
        <v>Q1</v>
      </c>
      <c r="I1469" s="3">
        <f t="shared" si="135"/>
        <v>1.9453251163805443E-2</v>
      </c>
      <c r="J1469" s="3">
        <f t="shared" si="136"/>
        <v>2.1211294621833578E-3</v>
      </c>
      <c r="K1469" s="3" t="str">
        <f t="shared" si="137"/>
        <v>Normal</v>
      </c>
      <c r="L1469" s="4">
        <f>VALUE(A1469)</f>
        <v>43524</v>
      </c>
    </row>
    <row r="1470" spans="1:12">
      <c r="A1470" s="5">
        <v>43525</v>
      </c>
      <c r="B1470" s="3">
        <v>1671.7299800000001</v>
      </c>
      <c r="C1470" s="3">
        <v>250.06579600000001</v>
      </c>
      <c r="D1470" s="3">
        <v>3831.4799800000001</v>
      </c>
      <c r="E1470" s="3">
        <v>357.32000699999998</v>
      </c>
      <c r="F1470" s="3">
        <f t="shared" si="132"/>
        <v>2019</v>
      </c>
      <c r="G1470" s="3" t="str">
        <f t="shared" si="133"/>
        <v>Mar</v>
      </c>
      <c r="H1470" s="3" t="str">
        <f t="shared" si="134"/>
        <v>Q1</v>
      </c>
      <c r="I1470" s="3">
        <f t="shared" si="135"/>
        <v>1.4619624157245712E-2</v>
      </c>
      <c r="J1470" s="3">
        <f t="shared" si="136"/>
        <v>-2.6151761596833412E-2</v>
      </c>
      <c r="K1470" s="3" t="str">
        <f t="shared" si="137"/>
        <v>Normal</v>
      </c>
      <c r="L1470" s="4">
        <f>VALUE(A1470)</f>
        <v>43525</v>
      </c>
    </row>
    <row r="1471" spans="1:12">
      <c r="A1471" s="5">
        <v>43528</v>
      </c>
      <c r="B1471" s="3">
        <v>1696.170044</v>
      </c>
      <c r="C1471" s="3">
        <v>247.91153</v>
      </c>
      <c r="D1471" s="3">
        <v>3731.280029</v>
      </c>
      <c r="E1471" s="3">
        <v>351.040009</v>
      </c>
      <c r="F1471" s="3">
        <f t="shared" si="132"/>
        <v>2019</v>
      </c>
      <c r="G1471" s="3" t="str">
        <f t="shared" si="133"/>
        <v>Mar</v>
      </c>
      <c r="H1471" s="3" t="str">
        <f t="shared" si="134"/>
        <v>Q1</v>
      </c>
      <c r="I1471" s="3">
        <f t="shared" si="135"/>
        <v>-2.2049617096055931E-3</v>
      </c>
      <c r="J1471" s="3">
        <f t="shared" si="136"/>
        <v>3.8297823237431423E-2</v>
      </c>
      <c r="K1471" s="3" t="str">
        <f t="shared" si="137"/>
        <v>Normal</v>
      </c>
      <c r="L1471" s="4">
        <f>VALUE(A1471)</f>
        <v>43528</v>
      </c>
    </row>
    <row r="1472" spans="1:12">
      <c r="A1472" s="5">
        <v>43529</v>
      </c>
      <c r="B1472" s="3">
        <v>1692.4300539999999</v>
      </c>
      <c r="C1472" s="3">
        <v>248.66951</v>
      </c>
      <c r="D1472" s="3">
        <v>3874.179932</v>
      </c>
      <c r="E1472" s="3">
        <v>354.29998799999998</v>
      </c>
      <c r="F1472" s="3">
        <f t="shared" si="132"/>
        <v>2019</v>
      </c>
      <c r="G1472" s="3" t="str">
        <f t="shared" si="133"/>
        <v>Mar</v>
      </c>
      <c r="H1472" s="3" t="str">
        <f t="shared" si="134"/>
        <v>Q1</v>
      </c>
      <c r="I1472" s="3">
        <f t="shared" si="135"/>
        <v>-1.3873603192347867E-2</v>
      </c>
      <c r="J1472" s="3">
        <f t="shared" si="136"/>
        <v>2.0650770331853051E-4</v>
      </c>
      <c r="K1472" s="3" t="str">
        <f t="shared" si="137"/>
        <v>Normal</v>
      </c>
      <c r="L1472" s="4">
        <f>VALUE(A1472)</f>
        <v>43529</v>
      </c>
    </row>
    <row r="1473" spans="1:12">
      <c r="A1473" s="5">
        <v>43530</v>
      </c>
      <c r="B1473" s="3">
        <v>1668.9499510000001</v>
      </c>
      <c r="C1473" s="3">
        <v>247.941452</v>
      </c>
      <c r="D1473" s="3">
        <v>3874.9799800000001</v>
      </c>
      <c r="E1473" s="3">
        <v>359.60998499999999</v>
      </c>
      <c r="F1473" s="3">
        <f t="shared" si="132"/>
        <v>2019</v>
      </c>
      <c r="G1473" s="3" t="str">
        <f t="shared" si="133"/>
        <v>Mar</v>
      </c>
      <c r="H1473" s="3" t="str">
        <f t="shared" si="134"/>
        <v>Q1</v>
      </c>
      <c r="I1473" s="3">
        <f t="shared" si="135"/>
        <v>-2.5764703114215796E-2</v>
      </c>
      <c r="J1473" s="3">
        <f t="shared" si="136"/>
        <v>1.96907520538981E-3</v>
      </c>
      <c r="K1473" s="3" t="str">
        <f t="shared" si="137"/>
        <v>Normal</v>
      </c>
      <c r="L1473" s="4">
        <f>VALUE(A1473)</f>
        <v>43530</v>
      </c>
    </row>
    <row r="1474" spans="1:12">
      <c r="A1474" s="5">
        <v>43531</v>
      </c>
      <c r="B1474" s="3">
        <v>1625.9499510000001</v>
      </c>
      <c r="C1474" s="3">
        <v>247.283188</v>
      </c>
      <c r="D1474" s="3">
        <v>3882.610107</v>
      </c>
      <c r="E1474" s="3">
        <v>352.60000600000001</v>
      </c>
      <c r="F1474" s="3">
        <f t="shared" si="132"/>
        <v>2019</v>
      </c>
      <c r="G1474" s="3" t="str">
        <f t="shared" si="133"/>
        <v>Mar</v>
      </c>
      <c r="H1474" s="3" t="str">
        <f t="shared" si="134"/>
        <v>Q1</v>
      </c>
      <c r="I1474" s="3">
        <f t="shared" si="135"/>
        <v>-3.1673188936921408E-3</v>
      </c>
      <c r="J1474" s="3">
        <f t="shared" si="136"/>
        <v>-3.757803796393414E-3</v>
      </c>
      <c r="K1474" s="3" t="str">
        <f t="shared" si="137"/>
        <v>Normal</v>
      </c>
      <c r="L1474" s="4">
        <f>VALUE(A1474)</f>
        <v>43531</v>
      </c>
    </row>
    <row r="1475" spans="1:12">
      <c r="A1475" s="5">
        <v>43532</v>
      </c>
      <c r="B1475" s="3">
        <v>1620.8000489999999</v>
      </c>
      <c r="C1475" s="3">
        <v>249.85635400000001</v>
      </c>
      <c r="D1475" s="3">
        <v>3868.0200199999999</v>
      </c>
      <c r="E1475" s="3">
        <v>349.60000600000001</v>
      </c>
      <c r="F1475" s="3">
        <f t="shared" ref="F1475:F1521" si="138">YEAR(A1475)</f>
        <v>2019</v>
      </c>
      <c r="G1475" s="3" t="str">
        <f t="shared" ref="G1475:G1521" si="139">TEXT(A1475,"MMM")</f>
        <v>Mar</v>
      </c>
      <c r="H1475" s="3" t="str">
        <f t="shared" ref="H1475:H1521" si="140">"Q"&amp;ROUNDUP(MONTH(A1475)/3,0)</f>
        <v>Q1</v>
      </c>
      <c r="I1475" s="3">
        <f t="shared" ref="I1475:I1521" si="141">(B1476-B1475)/B1475</f>
        <v>3.073787296017047E-2</v>
      </c>
      <c r="J1475" s="3">
        <f t="shared" ref="J1475:J1521" si="142">(D1476-D1475)/D1475</f>
        <v>1.7760696595360687E-3</v>
      </c>
      <c r="K1475" s="3" t="str">
        <f t="shared" ref="K1475:K1521" si="143">IF(J1475="","",IF(ABS(J1475)&gt;0.05,"High Volatility","Normal"))</f>
        <v>Normal</v>
      </c>
      <c r="L1475" s="4">
        <f>VALUE(A1475)</f>
        <v>43532</v>
      </c>
    </row>
    <row r="1476" spans="1:12">
      <c r="A1476" s="5">
        <v>43535</v>
      </c>
      <c r="B1476" s="3">
        <v>1670.619995</v>
      </c>
      <c r="C1476" s="3">
        <v>246.33570900000001</v>
      </c>
      <c r="D1476" s="3">
        <v>3874.889893</v>
      </c>
      <c r="E1476" s="3">
        <v>358.85998499999999</v>
      </c>
      <c r="F1476" s="3">
        <f t="shared" si="138"/>
        <v>2019</v>
      </c>
      <c r="G1476" s="3" t="str">
        <f t="shared" si="139"/>
        <v>Mar</v>
      </c>
      <c r="H1476" s="3" t="str">
        <f t="shared" si="140"/>
        <v>Q1</v>
      </c>
      <c r="I1476" s="3">
        <f t="shared" si="141"/>
        <v>1.4844674476675065E-3</v>
      </c>
      <c r="J1476" s="3">
        <f t="shared" si="142"/>
        <v>3.5304680591604007E-3</v>
      </c>
      <c r="K1476" s="3" t="str">
        <f t="shared" si="143"/>
        <v>Normal</v>
      </c>
      <c r="L1476" s="4">
        <f>VALUE(A1476)</f>
        <v>43535</v>
      </c>
    </row>
    <row r="1477" spans="1:12">
      <c r="A1477" s="5">
        <v>43536</v>
      </c>
      <c r="B1477" s="3">
        <v>1673.099976</v>
      </c>
      <c r="C1477" s="3">
        <v>239.364227</v>
      </c>
      <c r="D1477" s="3">
        <v>3888.570068</v>
      </c>
      <c r="E1477" s="3">
        <v>356.26998900000001</v>
      </c>
      <c r="F1477" s="3">
        <f t="shared" si="138"/>
        <v>2019</v>
      </c>
      <c r="G1477" s="3" t="str">
        <f t="shared" si="139"/>
        <v>Mar</v>
      </c>
      <c r="H1477" s="3" t="str">
        <f t="shared" si="140"/>
        <v>Q1</v>
      </c>
      <c r="I1477" s="3">
        <f t="shared" si="141"/>
        <v>1.0585191114723882E-2</v>
      </c>
      <c r="J1477" s="3">
        <f t="shared" si="142"/>
        <v>-2.6051033729244614E-3</v>
      </c>
      <c r="K1477" s="3" t="str">
        <f t="shared" si="143"/>
        <v>Normal</v>
      </c>
      <c r="L1477" s="4">
        <f>VALUE(A1477)</f>
        <v>43536</v>
      </c>
    </row>
    <row r="1478" spans="1:12">
      <c r="A1478" s="5">
        <v>43537</v>
      </c>
      <c r="B1478" s="3">
        <v>1690.8100589999999</v>
      </c>
      <c r="C1478" s="3">
        <v>244.71998600000001</v>
      </c>
      <c r="D1478" s="3">
        <v>3878.4399410000001</v>
      </c>
      <c r="E1478" s="3">
        <v>361.209991</v>
      </c>
      <c r="F1478" s="3">
        <f t="shared" si="138"/>
        <v>2019</v>
      </c>
      <c r="G1478" s="3" t="str">
        <f t="shared" si="139"/>
        <v>Mar</v>
      </c>
      <c r="H1478" s="3" t="str">
        <f t="shared" si="140"/>
        <v>Q1</v>
      </c>
      <c r="I1478" s="3">
        <f t="shared" si="141"/>
        <v>-2.7147271661694815E-3</v>
      </c>
      <c r="J1478" s="3">
        <f t="shared" si="142"/>
        <v>7.7350688566457291E-4</v>
      </c>
      <c r="K1478" s="3" t="str">
        <f t="shared" si="143"/>
        <v>Normal</v>
      </c>
      <c r="L1478" s="4">
        <f>VALUE(A1478)</f>
        <v>43537</v>
      </c>
    </row>
    <row r="1479" spans="1:12">
      <c r="A1479" s="5">
        <v>43538</v>
      </c>
      <c r="B1479" s="3">
        <v>1686.219971</v>
      </c>
      <c r="C1479" s="3">
        <v>247.25</v>
      </c>
      <c r="D1479" s="3">
        <v>3881.4399410000001</v>
      </c>
      <c r="E1479" s="3">
        <v>358.82000699999998</v>
      </c>
      <c r="F1479" s="3">
        <f t="shared" si="138"/>
        <v>2019</v>
      </c>
      <c r="G1479" s="3" t="str">
        <f t="shared" si="139"/>
        <v>Mar</v>
      </c>
      <c r="H1479" s="3" t="str">
        <f t="shared" si="140"/>
        <v>Q1</v>
      </c>
      <c r="I1479" s="3">
        <f t="shared" si="141"/>
        <v>1.5502137591513596E-2</v>
      </c>
      <c r="J1479" s="3">
        <f t="shared" si="142"/>
        <v>1.1758558085080483E-2</v>
      </c>
      <c r="K1479" s="3" t="str">
        <f t="shared" si="143"/>
        <v>Normal</v>
      </c>
      <c r="L1479" s="4">
        <f>VALUE(A1479)</f>
        <v>43538</v>
      </c>
    </row>
    <row r="1480" spans="1:12">
      <c r="A1480" s="5">
        <v>43539</v>
      </c>
      <c r="B1480" s="3">
        <v>1712.3599850000001</v>
      </c>
      <c r="C1480" s="3">
        <v>244.270004</v>
      </c>
      <c r="D1480" s="3">
        <v>3927.080078</v>
      </c>
      <c r="E1480" s="3">
        <v>361.459991</v>
      </c>
      <c r="F1480" s="3">
        <f t="shared" si="138"/>
        <v>2019</v>
      </c>
      <c r="G1480" s="3" t="str">
        <f t="shared" si="139"/>
        <v>Mar</v>
      </c>
      <c r="H1480" s="3" t="str">
        <f t="shared" si="140"/>
        <v>Q1</v>
      </c>
      <c r="I1480" s="3">
        <f t="shared" si="141"/>
        <v>1.7397065605921629E-2</v>
      </c>
      <c r="J1480" s="3">
        <f t="shared" si="142"/>
        <v>1.5729248900740123E-2</v>
      </c>
      <c r="K1480" s="3" t="str">
        <f t="shared" si="143"/>
        <v>Normal</v>
      </c>
      <c r="L1480" s="4">
        <f>VALUE(A1480)</f>
        <v>43539</v>
      </c>
    </row>
    <row r="1481" spans="1:12">
      <c r="A1481" s="5">
        <v>43542</v>
      </c>
      <c r="B1481" s="3">
        <v>1742.150024</v>
      </c>
      <c r="C1481" s="3">
        <v>243.41000399999999</v>
      </c>
      <c r="D1481" s="3">
        <v>3988.8500979999999</v>
      </c>
      <c r="E1481" s="3">
        <v>363.44000199999999</v>
      </c>
      <c r="F1481" s="3">
        <f t="shared" si="138"/>
        <v>2019</v>
      </c>
      <c r="G1481" s="3" t="str">
        <f t="shared" si="139"/>
        <v>Mar</v>
      </c>
      <c r="H1481" s="3" t="str">
        <f t="shared" si="140"/>
        <v>Q1</v>
      </c>
      <c r="I1481" s="3">
        <f t="shared" si="141"/>
        <v>1.1307839008473325E-2</v>
      </c>
      <c r="J1481" s="3">
        <f t="shared" si="142"/>
        <v>8.8471098519581782E-3</v>
      </c>
      <c r="K1481" s="3" t="str">
        <f t="shared" si="143"/>
        <v>Normal</v>
      </c>
      <c r="L1481" s="4">
        <f>VALUE(A1481)</f>
        <v>43542</v>
      </c>
    </row>
    <row r="1482" spans="1:12">
      <c r="A1482" s="5">
        <v>43543</v>
      </c>
      <c r="B1482" s="3">
        <v>1761.849976</v>
      </c>
      <c r="C1482" s="3">
        <v>248.759995</v>
      </c>
      <c r="D1482" s="3">
        <v>4024.139893</v>
      </c>
      <c r="E1482" s="3">
        <v>358.77999899999998</v>
      </c>
      <c r="F1482" s="3">
        <f t="shared" si="138"/>
        <v>2019</v>
      </c>
      <c r="G1482" s="3" t="str">
        <f t="shared" si="139"/>
        <v>Mar</v>
      </c>
      <c r="H1482" s="3" t="str">
        <f t="shared" si="140"/>
        <v>Q1</v>
      </c>
      <c r="I1482" s="3">
        <f t="shared" si="141"/>
        <v>2.0103893340802793E-2</v>
      </c>
      <c r="J1482" s="3">
        <f t="shared" si="142"/>
        <v>8.1036216103533877E-3</v>
      </c>
      <c r="K1482" s="3" t="str">
        <f t="shared" si="143"/>
        <v>Normal</v>
      </c>
      <c r="L1482" s="4">
        <f>VALUE(A1482)</f>
        <v>43543</v>
      </c>
    </row>
    <row r="1483" spans="1:12">
      <c r="A1483" s="5">
        <v>43544</v>
      </c>
      <c r="B1483" s="3">
        <v>1797.2700199999999</v>
      </c>
      <c r="C1483" s="3">
        <v>243.94000199999999</v>
      </c>
      <c r="D1483" s="3">
        <v>4056.75</v>
      </c>
      <c r="E1483" s="3">
        <v>375.22000100000002</v>
      </c>
      <c r="F1483" s="3">
        <f t="shared" si="138"/>
        <v>2019</v>
      </c>
      <c r="G1483" s="3" t="str">
        <f t="shared" si="139"/>
        <v>Mar</v>
      </c>
      <c r="H1483" s="3" t="str">
        <f t="shared" si="140"/>
        <v>Q1</v>
      </c>
      <c r="I1483" s="3">
        <f t="shared" si="141"/>
        <v>1.2235217722042698E-2</v>
      </c>
      <c r="J1483" s="3">
        <f t="shared" si="142"/>
        <v>-1.4745810809145251E-2</v>
      </c>
      <c r="K1483" s="3" t="str">
        <f t="shared" si="143"/>
        <v>Normal</v>
      </c>
      <c r="L1483" s="4">
        <f>VALUE(A1483)</f>
        <v>43544</v>
      </c>
    </row>
    <row r="1484" spans="1:12">
      <c r="A1484" s="5">
        <v>43545</v>
      </c>
      <c r="B1484" s="3">
        <v>1819.26001</v>
      </c>
      <c r="C1484" s="3">
        <v>245.050003</v>
      </c>
      <c r="D1484" s="3">
        <v>3996.929932</v>
      </c>
      <c r="E1484" s="3">
        <v>377.86999500000002</v>
      </c>
      <c r="F1484" s="3">
        <f t="shared" si="138"/>
        <v>2019</v>
      </c>
      <c r="G1484" s="3" t="str">
        <f t="shared" si="139"/>
        <v>Mar</v>
      </c>
      <c r="H1484" s="3" t="str">
        <f t="shared" si="140"/>
        <v>Q1</v>
      </c>
      <c r="I1484" s="3">
        <f t="shared" si="141"/>
        <v>-2.9951732957621619E-2</v>
      </c>
      <c r="J1484" s="3">
        <f t="shared" si="142"/>
        <v>9.7828985409392343E-4</v>
      </c>
      <c r="K1484" s="3" t="str">
        <f t="shared" si="143"/>
        <v>Normal</v>
      </c>
      <c r="L1484" s="4">
        <f>VALUE(A1484)</f>
        <v>43545</v>
      </c>
    </row>
    <row r="1485" spans="1:12">
      <c r="A1485" s="5">
        <v>43546</v>
      </c>
      <c r="B1485" s="3">
        <v>1764.7700199999999</v>
      </c>
      <c r="C1485" s="3">
        <v>239.25</v>
      </c>
      <c r="D1485" s="3">
        <v>4000.8400879999999</v>
      </c>
      <c r="E1485" s="3">
        <v>361.01001000000002</v>
      </c>
      <c r="F1485" s="3">
        <f t="shared" si="138"/>
        <v>2019</v>
      </c>
      <c r="G1485" s="3" t="str">
        <f t="shared" si="139"/>
        <v>Mar</v>
      </c>
      <c r="H1485" s="3" t="str">
        <f t="shared" si="140"/>
        <v>Q1</v>
      </c>
      <c r="I1485" s="3">
        <f t="shared" si="141"/>
        <v>5.37746555780681E-3</v>
      </c>
      <c r="J1485" s="3">
        <f t="shared" si="142"/>
        <v>-1.9068504944454549E-2</v>
      </c>
      <c r="K1485" s="3" t="str">
        <f t="shared" si="143"/>
        <v>Normal</v>
      </c>
      <c r="L1485" s="4">
        <f>VALUE(A1485)</f>
        <v>43546</v>
      </c>
    </row>
    <row r="1486" spans="1:12">
      <c r="A1486" s="5">
        <v>43549</v>
      </c>
      <c r="B1486" s="3">
        <v>1774.26001</v>
      </c>
      <c r="C1486" s="3">
        <v>242.55999800000001</v>
      </c>
      <c r="D1486" s="3">
        <v>3924.5500489999999</v>
      </c>
      <c r="E1486" s="3">
        <v>366.23001099999999</v>
      </c>
      <c r="F1486" s="3">
        <f t="shared" si="138"/>
        <v>2019</v>
      </c>
      <c r="G1486" s="3" t="str">
        <f t="shared" si="139"/>
        <v>Mar</v>
      </c>
      <c r="H1486" s="3" t="str">
        <f t="shared" si="140"/>
        <v>Q1</v>
      </c>
      <c r="I1486" s="3">
        <f t="shared" si="141"/>
        <v>5.3543448798127396E-3</v>
      </c>
      <c r="J1486" s="3">
        <f t="shared" si="142"/>
        <v>4.5024070987456132E-3</v>
      </c>
      <c r="K1486" s="3" t="str">
        <f t="shared" si="143"/>
        <v>Normal</v>
      </c>
      <c r="L1486" s="4">
        <f>VALUE(A1486)</f>
        <v>43549</v>
      </c>
    </row>
    <row r="1487" spans="1:12">
      <c r="A1487" s="5">
        <v>43550</v>
      </c>
      <c r="B1487" s="3">
        <v>1783.76001</v>
      </c>
      <c r="C1487" s="3">
        <v>245.39999399999999</v>
      </c>
      <c r="D1487" s="3">
        <v>3942.219971</v>
      </c>
      <c r="E1487" s="3">
        <v>359.97000100000002</v>
      </c>
      <c r="F1487" s="3">
        <f t="shared" si="138"/>
        <v>2019</v>
      </c>
      <c r="G1487" s="3" t="str">
        <f t="shared" si="139"/>
        <v>Mar</v>
      </c>
      <c r="H1487" s="3" t="str">
        <f t="shared" si="140"/>
        <v>Q1</v>
      </c>
      <c r="I1487" s="3">
        <f t="shared" si="141"/>
        <v>-1.0124713469722818E-2</v>
      </c>
      <c r="J1487" s="3">
        <f t="shared" si="142"/>
        <v>2.632019769654809E-2</v>
      </c>
      <c r="K1487" s="3" t="str">
        <f t="shared" si="143"/>
        <v>Normal</v>
      </c>
      <c r="L1487" s="4">
        <f>VALUE(A1487)</f>
        <v>43550</v>
      </c>
    </row>
    <row r="1488" spans="1:12">
      <c r="A1488" s="5">
        <v>43551</v>
      </c>
      <c r="B1488" s="3">
        <v>1765.6999510000001</v>
      </c>
      <c r="C1488" s="3">
        <v>247.58000200000001</v>
      </c>
      <c r="D1488" s="3">
        <v>4045.9799800000001</v>
      </c>
      <c r="E1488" s="3">
        <v>353.36999500000002</v>
      </c>
      <c r="F1488" s="3">
        <f t="shared" si="138"/>
        <v>2019</v>
      </c>
      <c r="G1488" s="3" t="str">
        <f t="shared" si="139"/>
        <v>Mar</v>
      </c>
      <c r="H1488" s="3" t="str">
        <f t="shared" si="140"/>
        <v>Q1</v>
      </c>
      <c r="I1488" s="3">
        <f t="shared" si="141"/>
        <v>4.3722564502692825E-3</v>
      </c>
      <c r="J1488" s="3">
        <f t="shared" si="142"/>
        <v>-2.3554315758131886E-3</v>
      </c>
      <c r="K1488" s="3" t="str">
        <f t="shared" si="143"/>
        <v>Normal</v>
      </c>
      <c r="L1488" s="4">
        <f>VALUE(A1488)</f>
        <v>43551</v>
      </c>
    </row>
    <row r="1489" spans="1:12">
      <c r="A1489" s="5">
        <v>43552</v>
      </c>
      <c r="B1489" s="3">
        <v>1773.420044</v>
      </c>
      <c r="C1489" s="3">
        <v>253.91999799999999</v>
      </c>
      <c r="D1489" s="3">
        <v>4036.4499510000001</v>
      </c>
      <c r="E1489" s="3">
        <v>354.60998499999999</v>
      </c>
      <c r="F1489" s="3">
        <f t="shared" si="138"/>
        <v>2019</v>
      </c>
      <c r="G1489" s="3" t="str">
        <f t="shared" si="139"/>
        <v>Mar</v>
      </c>
      <c r="H1489" s="3" t="str">
        <f t="shared" si="140"/>
        <v>Q1</v>
      </c>
      <c r="I1489" s="3">
        <f t="shared" si="141"/>
        <v>4.1332317319855661E-3</v>
      </c>
      <c r="J1489" s="3">
        <f t="shared" si="142"/>
        <v>1.8563324928985242E-2</v>
      </c>
      <c r="K1489" s="3" t="str">
        <f t="shared" si="143"/>
        <v>Normal</v>
      </c>
      <c r="L1489" s="4">
        <f>VALUE(A1489)</f>
        <v>43552</v>
      </c>
    </row>
    <row r="1490" spans="1:12">
      <c r="A1490" s="5">
        <v>43553</v>
      </c>
      <c r="B1490" s="3">
        <v>1780.75</v>
      </c>
      <c r="C1490" s="3">
        <v>258.10000600000001</v>
      </c>
      <c r="D1490" s="3">
        <v>4111.3798829999996</v>
      </c>
      <c r="E1490" s="3">
        <v>356.55999800000001</v>
      </c>
      <c r="F1490" s="3">
        <f t="shared" si="138"/>
        <v>2019</v>
      </c>
      <c r="G1490" s="3" t="str">
        <f t="shared" si="139"/>
        <v>Mar</v>
      </c>
      <c r="H1490" s="3" t="str">
        <f t="shared" si="140"/>
        <v>Q1</v>
      </c>
      <c r="I1490" s="3">
        <f t="shared" si="141"/>
        <v>1.877857138845997E-2</v>
      </c>
      <c r="J1490" s="3">
        <f t="shared" si="142"/>
        <v>0.19349958302065282</v>
      </c>
      <c r="K1490" s="3" t="str">
        <f t="shared" si="143"/>
        <v>High Volatility</v>
      </c>
      <c r="L1490" s="4">
        <f>VALUE(A1490)</f>
        <v>43553</v>
      </c>
    </row>
    <row r="1491" spans="1:12">
      <c r="A1491" s="5">
        <v>43556</v>
      </c>
      <c r="B1491" s="3">
        <v>1814.1899410000001</v>
      </c>
      <c r="C1491" s="3">
        <v>249.449997</v>
      </c>
      <c r="D1491" s="3">
        <v>4906.9301759999998</v>
      </c>
      <c r="E1491" s="3">
        <v>366.959991</v>
      </c>
      <c r="F1491" s="3">
        <f t="shared" si="138"/>
        <v>2019</v>
      </c>
      <c r="G1491" s="3" t="str">
        <f t="shared" si="139"/>
        <v>Apr</v>
      </c>
      <c r="H1491" s="3" t="str">
        <f t="shared" si="140"/>
        <v>Q2</v>
      </c>
      <c r="I1491" s="3">
        <f t="shared" si="141"/>
        <v>-1.1573264477714417E-4</v>
      </c>
      <c r="J1491" s="3">
        <f t="shared" si="142"/>
        <v>1.4196180809889773E-2</v>
      </c>
      <c r="K1491" s="3" t="str">
        <f t="shared" si="143"/>
        <v>Normal</v>
      </c>
      <c r="L1491" s="4">
        <f>VALUE(A1491)</f>
        <v>43556</v>
      </c>
    </row>
    <row r="1492" spans="1:12">
      <c r="A1492" s="5">
        <v>43557</v>
      </c>
      <c r="B1492" s="3">
        <v>1813.9799800000001</v>
      </c>
      <c r="C1492" s="3">
        <v>245.220001</v>
      </c>
      <c r="D1492" s="3">
        <v>4976.5898440000001</v>
      </c>
      <c r="E1492" s="3">
        <v>367.72000100000002</v>
      </c>
      <c r="F1492" s="3">
        <f t="shared" si="138"/>
        <v>2019</v>
      </c>
      <c r="G1492" s="3" t="str">
        <f t="shared" si="139"/>
        <v>Apr</v>
      </c>
      <c r="H1492" s="3" t="str">
        <f t="shared" si="140"/>
        <v>Q2</v>
      </c>
      <c r="I1492" s="3">
        <f t="shared" si="141"/>
        <v>3.7045452949265663E-3</v>
      </c>
      <c r="J1492" s="3">
        <f t="shared" si="142"/>
        <v>-1.2705483670958599E-2</v>
      </c>
      <c r="K1492" s="3" t="str">
        <f t="shared" si="143"/>
        <v>Normal</v>
      </c>
      <c r="L1492" s="4">
        <f>VALUE(A1492)</f>
        <v>43557</v>
      </c>
    </row>
    <row r="1493" spans="1:12">
      <c r="A1493" s="5">
        <v>43558</v>
      </c>
      <c r="B1493" s="3">
        <v>1820.6999510000001</v>
      </c>
      <c r="C1493" s="3">
        <v>253.11000100000001</v>
      </c>
      <c r="D1493" s="3">
        <v>4913.3598629999997</v>
      </c>
      <c r="E1493" s="3">
        <v>369.75</v>
      </c>
      <c r="F1493" s="3">
        <f t="shared" si="138"/>
        <v>2019</v>
      </c>
      <c r="G1493" s="3" t="str">
        <f t="shared" si="139"/>
        <v>Apr</v>
      </c>
      <c r="H1493" s="3" t="str">
        <f t="shared" si="140"/>
        <v>Q2</v>
      </c>
      <c r="I1493" s="3">
        <f t="shared" si="141"/>
        <v>-1.0105816716199844E-3</v>
      </c>
      <c r="J1493" s="3">
        <f t="shared" si="142"/>
        <v>2.7246145353225146E-2</v>
      </c>
      <c r="K1493" s="3" t="str">
        <f t="shared" si="143"/>
        <v>Normal</v>
      </c>
      <c r="L1493" s="4">
        <f>VALUE(A1493)</f>
        <v>43558</v>
      </c>
    </row>
    <row r="1494" spans="1:12">
      <c r="A1494" s="5">
        <v>43559</v>
      </c>
      <c r="B1494" s="3">
        <v>1818.8599850000001</v>
      </c>
      <c r="C1494" s="3">
        <v>248.94000199999999</v>
      </c>
      <c r="D1494" s="3">
        <v>5047.2299800000001</v>
      </c>
      <c r="E1494" s="3">
        <v>367.88000499999998</v>
      </c>
      <c r="F1494" s="3">
        <f t="shared" si="138"/>
        <v>2019</v>
      </c>
      <c r="G1494" s="3" t="str">
        <f t="shared" si="139"/>
        <v>Apr</v>
      </c>
      <c r="H1494" s="3" t="str">
        <f t="shared" si="140"/>
        <v>Q2</v>
      </c>
      <c r="I1494" s="3">
        <f t="shared" si="141"/>
        <v>1.0127246820485724E-2</v>
      </c>
      <c r="J1494" s="3">
        <f t="shared" si="142"/>
        <v>1.9852513239351005E-3</v>
      </c>
      <c r="K1494" s="3" t="str">
        <f t="shared" si="143"/>
        <v>Normal</v>
      </c>
      <c r="L1494" s="4">
        <f>VALUE(A1494)</f>
        <v>43559</v>
      </c>
    </row>
    <row r="1495" spans="1:12">
      <c r="A1495" s="5">
        <v>43560</v>
      </c>
      <c r="B1495" s="3">
        <v>1837.280029</v>
      </c>
      <c r="C1495" s="3">
        <v>254.55999800000001</v>
      </c>
      <c r="D1495" s="3">
        <v>5057.25</v>
      </c>
      <c r="E1495" s="3">
        <v>365.48998999999998</v>
      </c>
      <c r="F1495" s="3">
        <f t="shared" si="138"/>
        <v>2019</v>
      </c>
      <c r="G1495" s="3" t="str">
        <f t="shared" si="139"/>
        <v>Apr</v>
      </c>
      <c r="H1495" s="3" t="str">
        <f t="shared" si="140"/>
        <v>Q2</v>
      </c>
      <c r="I1495" s="3">
        <f t="shared" si="141"/>
        <v>6.8470542331247634E-3</v>
      </c>
      <c r="J1495" s="3">
        <f t="shared" si="142"/>
        <v>2.8483821246724928E-2</v>
      </c>
      <c r="K1495" s="3" t="str">
        <f t="shared" si="143"/>
        <v>Normal</v>
      </c>
      <c r="L1495" s="4">
        <f>VALUE(A1495)</f>
        <v>43560</v>
      </c>
    </row>
    <row r="1496" spans="1:12">
      <c r="A1496" s="5">
        <v>43563</v>
      </c>
      <c r="B1496" s="3">
        <v>1849.8599850000001</v>
      </c>
      <c r="C1496" s="3">
        <v>247.5</v>
      </c>
      <c r="D1496" s="3">
        <v>5201.2998049999997</v>
      </c>
      <c r="E1496" s="3">
        <v>361.41000400000001</v>
      </c>
      <c r="F1496" s="3">
        <f t="shared" si="138"/>
        <v>2019</v>
      </c>
      <c r="G1496" s="3" t="str">
        <f t="shared" si="139"/>
        <v>Apr</v>
      </c>
      <c r="H1496" s="3" t="str">
        <f t="shared" si="140"/>
        <v>Q2</v>
      </c>
      <c r="I1496" s="3">
        <f t="shared" si="141"/>
        <v>-7.5789622531891501E-3</v>
      </c>
      <c r="J1496" s="3">
        <f t="shared" si="142"/>
        <v>2.255211147168246E-2</v>
      </c>
      <c r="K1496" s="3" t="str">
        <f t="shared" si="143"/>
        <v>Normal</v>
      </c>
      <c r="L1496" s="4">
        <f>VALUE(A1496)</f>
        <v>43563</v>
      </c>
    </row>
    <row r="1497" spans="1:12">
      <c r="A1497" s="5">
        <v>43564</v>
      </c>
      <c r="B1497" s="3">
        <v>1835.839966</v>
      </c>
      <c r="C1497" s="3">
        <v>247.83000200000001</v>
      </c>
      <c r="D1497" s="3">
        <v>5318.6000979999999</v>
      </c>
      <c r="E1497" s="3">
        <v>364.709991</v>
      </c>
      <c r="F1497" s="3">
        <f t="shared" si="138"/>
        <v>2019</v>
      </c>
      <c r="G1497" s="3" t="str">
        <f t="shared" si="139"/>
        <v>Apr</v>
      </c>
      <c r="H1497" s="3" t="str">
        <f t="shared" si="140"/>
        <v>Q2</v>
      </c>
      <c r="I1497" s="3">
        <f t="shared" si="141"/>
        <v>6.2587100252724506E-3</v>
      </c>
      <c r="J1497" s="3">
        <f t="shared" si="142"/>
        <v>-5.0772766146028742E-2</v>
      </c>
      <c r="K1497" s="3" t="str">
        <f t="shared" si="143"/>
        <v>High Volatility</v>
      </c>
      <c r="L1497" s="4">
        <f>VALUE(A1497)</f>
        <v>43564</v>
      </c>
    </row>
    <row r="1498" spans="1:12">
      <c r="A1498" s="5">
        <v>43565</v>
      </c>
      <c r="B1498" s="3">
        <v>1847.329956</v>
      </c>
      <c r="C1498" s="3">
        <v>248.94000199999999</v>
      </c>
      <c r="D1498" s="3">
        <v>5048.5600590000004</v>
      </c>
      <c r="E1498" s="3">
        <v>363.92001299999998</v>
      </c>
      <c r="F1498" s="3">
        <f t="shared" si="138"/>
        <v>2019</v>
      </c>
      <c r="G1498" s="3" t="str">
        <f t="shared" si="139"/>
        <v>Apr</v>
      </c>
      <c r="H1498" s="3" t="str">
        <f t="shared" si="140"/>
        <v>Q2</v>
      </c>
      <c r="I1498" s="3">
        <f t="shared" si="141"/>
        <v>-1.7647145218490496E-3</v>
      </c>
      <c r="J1498" s="3">
        <f t="shared" si="142"/>
        <v>6.5246210038202961E-3</v>
      </c>
      <c r="K1498" s="3" t="str">
        <f t="shared" si="143"/>
        <v>Normal</v>
      </c>
      <c r="L1498" s="4">
        <f>VALUE(A1498)</f>
        <v>43565</v>
      </c>
    </row>
    <row r="1499" spans="1:12">
      <c r="A1499" s="5">
        <v>43566</v>
      </c>
      <c r="B1499" s="3">
        <v>1844.0699460000001</v>
      </c>
      <c r="C1499" s="3">
        <v>255.550003</v>
      </c>
      <c r="D1499" s="3">
        <v>5081.5</v>
      </c>
      <c r="E1499" s="3">
        <v>367.64999399999999</v>
      </c>
      <c r="F1499" s="3">
        <f t="shared" si="138"/>
        <v>2019</v>
      </c>
      <c r="G1499" s="3" t="str">
        <f t="shared" si="139"/>
        <v>Apr</v>
      </c>
      <c r="H1499" s="3" t="str">
        <f t="shared" si="140"/>
        <v>Q2</v>
      </c>
      <c r="I1499" s="3">
        <f t="shared" si="141"/>
        <v>-5.4764028999589932E-4</v>
      </c>
      <c r="J1499" s="3">
        <f t="shared" si="142"/>
        <v>-1.6527482042705591E-4</v>
      </c>
      <c r="K1499" s="3" t="str">
        <f t="shared" si="143"/>
        <v>Normal</v>
      </c>
      <c r="L1499" s="4">
        <f>VALUE(A1499)</f>
        <v>43566</v>
      </c>
    </row>
    <row r="1500" spans="1:12">
      <c r="A1500" s="5">
        <v>43567</v>
      </c>
      <c r="B1500" s="3">
        <v>1843.0600589999999</v>
      </c>
      <c r="C1500" s="3">
        <v>257.60998499999999</v>
      </c>
      <c r="D1500" s="3">
        <v>5080.6601559999999</v>
      </c>
      <c r="E1500" s="3">
        <v>351.14001500000001</v>
      </c>
      <c r="F1500" s="3">
        <f t="shared" si="138"/>
        <v>2019</v>
      </c>
      <c r="G1500" s="3" t="str">
        <f t="shared" si="139"/>
        <v>Apr</v>
      </c>
      <c r="H1500" s="3" t="str">
        <f t="shared" si="140"/>
        <v>Q2</v>
      </c>
      <c r="I1500" s="3">
        <f t="shared" si="141"/>
        <v>9.8202768334209071E-4</v>
      </c>
      <c r="J1500" s="3">
        <f t="shared" si="142"/>
        <v>2.6010380332945154E-2</v>
      </c>
      <c r="K1500" s="3" t="str">
        <f t="shared" si="143"/>
        <v>Normal</v>
      </c>
      <c r="L1500" s="4">
        <f>VALUE(A1500)</f>
        <v>43567</v>
      </c>
    </row>
    <row r="1501" spans="1:12">
      <c r="A1501" s="5">
        <v>43570</v>
      </c>
      <c r="B1501" s="3">
        <v>1844.869995</v>
      </c>
      <c r="C1501" s="3">
        <v>258.89999399999999</v>
      </c>
      <c r="D1501" s="3">
        <v>5212.8100590000004</v>
      </c>
      <c r="E1501" s="3">
        <v>348.86999500000002</v>
      </c>
      <c r="F1501" s="3">
        <f t="shared" si="138"/>
        <v>2019</v>
      </c>
      <c r="G1501" s="3" t="str">
        <f t="shared" si="139"/>
        <v>Apr</v>
      </c>
      <c r="H1501" s="3" t="str">
        <f t="shared" si="140"/>
        <v>Q2</v>
      </c>
      <c r="I1501" s="3">
        <f t="shared" si="141"/>
        <v>9.8489563217162967E-3</v>
      </c>
      <c r="J1501" s="3">
        <f t="shared" si="142"/>
        <v>4.4984771619509646E-3</v>
      </c>
      <c r="K1501" s="3" t="str">
        <f t="shared" si="143"/>
        <v>Normal</v>
      </c>
      <c r="L1501" s="4">
        <f>VALUE(A1501)</f>
        <v>43570</v>
      </c>
    </row>
    <row r="1502" spans="1:12">
      <c r="A1502" s="5">
        <v>43571</v>
      </c>
      <c r="B1502" s="3">
        <v>1863.040039</v>
      </c>
      <c r="C1502" s="3">
        <v>255.33999600000001</v>
      </c>
      <c r="D1502" s="3">
        <v>5236.2597660000001</v>
      </c>
      <c r="E1502" s="3">
        <v>359.459991</v>
      </c>
      <c r="F1502" s="3">
        <f t="shared" si="138"/>
        <v>2019</v>
      </c>
      <c r="G1502" s="3" t="str">
        <f t="shared" si="139"/>
        <v>Apr</v>
      </c>
      <c r="H1502" s="3" t="str">
        <f t="shared" si="140"/>
        <v>Q2</v>
      </c>
      <c r="I1502" s="3">
        <f t="shared" si="141"/>
        <v>9.5537774966740464E-4</v>
      </c>
      <c r="J1502" s="3">
        <f t="shared" si="142"/>
        <v>1.0215351489496725E-2</v>
      </c>
      <c r="K1502" s="3" t="str">
        <f t="shared" si="143"/>
        <v>Normal</v>
      </c>
      <c r="L1502" s="4">
        <f>VALUE(A1502)</f>
        <v>43571</v>
      </c>
    </row>
    <row r="1503" spans="1:12">
      <c r="A1503" s="5">
        <v>43572</v>
      </c>
      <c r="B1503" s="3">
        <v>1864.8199460000001</v>
      </c>
      <c r="C1503" s="3">
        <v>265.25</v>
      </c>
      <c r="D1503" s="3">
        <v>5289.75</v>
      </c>
      <c r="E1503" s="3">
        <v>354.73998999999998</v>
      </c>
      <c r="F1503" s="3">
        <f t="shared" si="138"/>
        <v>2019</v>
      </c>
      <c r="G1503" s="3" t="str">
        <f t="shared" si="139"/>
        <v>Apr</v>
      </c>
      <c r="H1503" s="3" t="str">
        <f t="shared" si="140"/>
        <v>Q2</v>
      </c>
      <c r="I1503" s="3">
        <f t="shared" si="141"/>
        <v>-1.678448906938055E-3</v>
      </c>
      <c r="J1503" s="3">
        <f t="shared" si="142"/>
        <v>1.0926385935062565E-3</v>
      </c>
      <c r="K1503" s="3" t="str">
        <f t="shared" si="143"/>
        <v>Normal</v>
      </c>
      <c r="L1503" s="4">
        <f>VALUE(A1503)</f>
        <v>43572</v>
      </c>
    </row>
    <row r="1504" spans="1:12">
      <c r="A1504" s="5">
        <v>43573</v>
      </c>
      <c r="B1504" s="3">
        <v>1861.6899410000001</v>
      </c>
      <c r="C1504" s="3">
        <v>267.60998499999999</v>
      </c>
      <c r="D1504" s="3">
        <v>5295.5297849999997</v>
      </c>
      <c r="E1504" s="3">
        <v>360.35000600000001</v>
      </c>
      <c r="F1504" s="3">
        <f t="shared" si="138"/>
        <v>2019</v>
      </c>
      <c r="G1504" s="3" t="str">
        <f t="shared" si="139"/>
        <v>Apr</v>
      </c>
      <c r="H1504" s="3" t="str">
        <f t="shared" si="140"/>
        <v>Q2</v>
      </c>
      <c r="I1504" s="3">
        <f t="shared" si="141"/>
        <v>1.3761753466980687E-2</v>
      </c>
      <c r="J1504" s="3">
        <f t="shared" si="142"/>
        <v>4.5995457090984938E-2</v>
      </c>
      <c r="K1504" s="3" t="str">
        <f t="shared" si="143"/>
        <v>Normal</v>
      </c>
      <c r="L1504" s="4">
        <f>VALUE(A1504)</f>
        <v>43573</v>
      </c>
    </row>
    <row r="1505" spans="1:12">
      <c r="A1505" s="5">
        <v>43577</v>
      </c>
      <c r="B1505" s="3">
        <v>1887.3100589999999</v>
      </c>
      <c r="C1505" s="3">
        <v>266</v>
      </c>
      <c r="D1505" s="3">
        <v>5539.1000979999999</v>
      </c>
      <c r="E1505" s="3">
        <v>377.33999599999999</v>
      </c>
      <c r="F1505" s="3">
        <f t="shared" si="138"/>
        <v>2019</v>
      </c>
      <c r="G1505" s="3" t="str">
        <f t="shared" si="139"/>
        <v>Apr</v>
      </c>
      <c r="H1505" s="3" t="str">
        <f t="shared" si="140"/>
        <v>Q2</v>
      </c>
      <c r="I1505" s="3">
        <f t="shared" si="141"/>
        <v>1.9318479666938511E-2</v>
      </c>
      <c r="J1505" s="3">
        <f t="shared" si="142"/>
        <v>-1.5258799896127086E-2</v>
      </c>
      <c r="K1505" s="3" t="str">
        <f t="shared" si="143"/>
        <v>Normal</v>
      </c>
      <c r="L1505" s="4">
        <f>VALUE(A1505)</f>
        <v>43577</v>
      </c>
    </row>
    <row r="1506" spans="1:12">
      <c r="A1506" s="5">
        <v>43578</v>
      </c>
      <c r="B1506" s="3">
        <v>1923.7700199999999</v>
      </c>
      <c r="C1506" s="3">
        <v>270.20001200000002</v>
      </c>
      <c r="D1506" s="3">
        <v>5454.580078</v>
      </c>
      <c r="E1506" s="3">
        <v>381.89001500000001</v>
      </c>
      <c r="F1506" s="3">
        <f t="shared" si="138"/>
        <v>2019</v>
      </c>
      <c r="G1506" s="3" t="str">
        <f t="shared" si="139"/>
        <v>Apr</v>
      </c>
      <c r="H1506" s="3" t="str">
        <f t="shared" si="140"/>
        <v>Q2</v>
      </c>
      <c r="I1506" s="3">
        <f t="shared" si="141"/>
        <v>-1.1446285039830245E-2</v>
      </c>
      <c r="J1506" s="3">
        <f t="shared" si="142"/>
        <v>-5.351652223007293E-2</v>
      </c>
      <c r="K1506" s="3" t="str">
        <f t="shared" si="143"/>
        <v>High Volatility</v>
      </c>
      <c r="L1506" s="4">
        <f>VALUE(A1506)</f>
        <v>43578</v>
      </c>
    </row>
    <row r="1507" spans="1:12">
      <c r="A1507" s="5">
        <v>43579</v>
      </c>
      <c r="B1507" s="3">
        <v>1901.75</v>
      </c>
      <c r="C1507" s="3">
        <v>283.42001299999998</v>
      </c>
      <c r="D1507" s="3">
        <v>5162.669922</v>
      </c>
      <c r="E1507" s="3">
        <v>374.23001099999999</v>
      </c>
      <c r="F1507" s="3">
        <f t="shared" si="138"/>
        <v>2019</v>
      </c>
      <c r="G1507" s="3" t="str">
        <f t="shared" si="139"/>
        <v>Apr</v>
      </c>
      <c r="H1507" s="3" t="str">
        <f t="shared" si="140"/>
        <v>Q2</v>
      </c>
      <c r="I1507" s="3">
        <f t="shared" si="141"/>
        <v>2.6291573550677008E-4</v>
      </c>
      <c r="J1507" s="3">
        <f t="shared" si="142"/>
        <v>1.3833912118931714E-2</v>
      </c>
      <c r="K1507" s="3" t="str">
        <f t="shared" si="143"/>
        <v>Normal</v>
      </c>
      <c r="L1507" s="4">
        <f>VALUE(A1507)</f>
        <v>43579</v>
      </c>
    </row>
    <row r="1508" spans="1:12">
      <c r="A1508" s="5">
        <v>43580</v>
      </c>
      <c r="B1508" s="3">
        <v>1902.25</v>
      </c>
      <c r="C1508" s="3">
        <v>276.45001200000002</v>
      </c>
      <c r="D1508" s="3">
        <v>5234.0898440000001</v>
      </c>
      <c r="E1508" s="3">
        <v>368.32998700000002</v>
      </c>
      <c r="F1508" s="3">
        <f t="shared" si="138"/>
        <v>2019</v>
      </c>
      <c r="G1508" s="3" t="str">
        <f t="shared" si="139"/>
        <v>Apr</v>
      </c>
      <c r="H1508" s="3" t="str">
        <f t="shared" si="140"/>
        <v>Q2</v>
      </c>
      <c r="I1508" s="3">
        <f t="shared" si="141"/>
        <v>2.5433042449730572E-2</v>
      </c>
      <c r="J1508" s="3">
        <f t="shared" si="142"/>
        <v>-8.8073841630449776E-4</v>
      </c>
      <c r="K1508" s="3" t="str">
        <f t="shared" si="143"/>
        <v>Normal</v>
      </c>
      <c r="L1508" s="4">
        <f>VALUE(A1508)</f>
        <v>43580</v>
      </c>
    </row>
    <row r="1509" spans="1:12">
      <c r="A1509" s="5">
        <v>43581</v>
      </c>
      <c r="B1509" s="3">
        <v>1950.630005</v>
      </c>
      <c r="C1509" s="3">
        <v>273.42999300000002</v>
      </c>
      <c r="D1509" s="3">
        <v>5229.4799800000001</v>
      </c>
      <c r="E1509" s="3">
        <v>374.85000600000001</v>
      </c>
      <c r="F1509" s="3">
        <f t="shared" si="138"/>
        <v>2019</v>
      </c>
      <c r="G1509" s="3" t="str">
        <f t="shared" si="139"/>
        <v>Apr</v>
      </c>
      <c r="H1509" s="3" t="str">
        <f t="shared" si="140"/>
        <v>Q2</v>
      </c>
      <c r="I1509" s="3">
        <f t="shared" si="141"/>
        <v>-6.2543644713391232E-3</v>
      </c>
      <c r="J1509" s="3">
        <f t="shared" si="142"/>
        <v>2.3168681678364559E-2</v>
      </c>
      <c r="K1509" s="3" t="str">
        <f t="shared" si="143"/>
        <v>Normal</v>
      </c>
      <c r="L1509" s="4">
        <f>VALUE(A1509)</f>
        <v>43581</v>
      </c>
    </row>
    <row r="1510" spans="1:12">
      <c r="A1510" s="5">
        <v>43584</v>
      </c>
      <c r="B1510" s="3">
        <v>1938.4300539999999</v>
      </c>
      <c r="C1510" s="3">
        <v>268.86999500000002</v>
      </c>
      <c r="D1510" s="3">
        <v>5350.6401370000003</v>
      </c>
      <c r="E1510" s="3">
        <v>371.82998700000002</v>
      </c>
      <c r="F1510" s="3">
        <f t="shared" si="138"/>
        <v>2019</v>
      </c>
      <c r="G1510" s="3" t="str">
        <f t="shared" si="139"/>
        <v>Apr</v>
      </c>
      <c r="H1510" s="3" t="str">
        <f t="shared" si="140"/>
        <v>Q2</v>
      </c>
      <c r="I1510" s="3">
        <f t="shared" si="141"/>
        <v>-6.1441649521597839E-3</v>
      </c>
      <c r="J1510" s="3">
        <f t="shared" si="142"/>
        <v>7.2701398344853984E-3</v>
      </c>
      <c r="K1510" s="3" t="str">
        <f t="shared" si="143"/>
        <v>Normal</v>
      </c>
      <c r="L1510" s="4">
        <f>VALUE(A1510)</f>
        <v>43584</v>
      </c>
    </row>
    <row r="1511" spans="1:12">
      <c r="A1511" s="5">
        <v>43585</v>
      </c>
      <c r="B1511" s="3">
        <v>1926.5200199999999</v>
      </c>
      <c r="C1511" s="3">
        <v>270.57998700000002</v>
      </c>
      <c r="D1511" s="3">
        <v>5389.5400390000004</v>
      </c>
      <c r="E1511" s="3">
        <v>370.540009</v>
      </c>
      <c r="F1511" s="3">
        <f t="shared" si="138"/>
        <v>2019</v>
      </c>
      <c r="G1511" s="3" t="str">
        <f t="shared" si="139"/>
        <v>Apr</v>
      </c>
      <c r="H1511" s="3" t="str">
        <f t="shared" si="140"/>
        <v>Q2</v>
      </c>
      <c r="I1511" s="3">
        <f t="shared" si="141"/>
        <v>-7.7860597576349094E-3</v>
      </c>
      <c r="J1511" s="3">
        <f t="shared" si="142"/>
        <v>2.0628880237547827E-2</v>
      </c>
      <c r="K1511" s="3" t="str">
        <f t="shared" si="143"/>
        <v>Normal</v>
      </c>
      <c r="L1511" s="4">
        <f>VALUE(A1511)</f>
        <v>43585</v>
      </c>
    </row>
    <row r="1512" spans="1:12">
      <c r="A1512" s="5">
        <v>43586</v>
      </c>
      <c r="B1512" s="3">
        <v>1911.5200199999999</v>
      </c>
      <c r="C1512" s="3">
        <v>271.459991</v>
      </c>
      <c r="D1512" s="3">
        <v>5500.7202150000003</v>
      </c>
      <c r="E1512" s="3">
        <v>378.80999800000001</v>
      </c>
      <c r="F1512" s="3">
        <f t="shared" si="138"/>
        <v>2019</v>
      </c>
      <c r="G1512" s="3" t="str">
        <f t="shared" si="139"/>
        <v>May</v>
      </c>
      <c r="H1512" s="3" t="str">
        <f t="shared" si="140"/>
        <v>Q2</v>
      </c>
      <c r="I1512" s="3">
        <f t="shared" si="141"/>
        <v>-5.5976782288682803E-3</v>
      </c>
      <c r="J1512" s="3">
        <f t="shared" si="142"/>
        <v>4.5932106728682129E-2</v>
      </c>
      <c r="K1512" s="3" t="str">
        <f t="shared" si="143"/>
        <v>Normal</v>
      </c>
      <c r="L1512" s="4">
        <f>VALUE(A1512)</f>
        <v>43586</v>
      </c>
    </row>
    <row r="1513" spans="1:12">
      <c r="A1513" s="5">
        <v>43587</v>
      </c>
      <c r="B1513" s="3">
        <v>1900.8199460000001</v>
      </c>
      <c r="C1513" s="3">
        <v>274.32000699999998</v>
      </c>
      <c r="D1513" s="3">
        <v>5753.3798829999996</v>
      </c>
      <c r="E1513" s="3">
        <v>379.05999800000001</v>
      </c>
      <c r="F1513" s="3">
        <f t="shared" si="138"/>
        <v>2019</v>
      </c>
      <c r="G1513" s="3" t="str">
        <f t="shared" si="139"/>
        <v>May</v>
      </c>
      <c r="H1513" s="3" t="str">
        <f t="shared" si="140"/>
        <v>Q2</v>
      </c>
      <c r="I1513" s="3">
        <f t="shared" si="141"/>
        <v>3.2428118786165111E-2</v>
      </c>
      <c r="J1513" s="3">
        <f t="shared" si="142"/>
        <v>1.5069436881124568E-2</v>
      </c>
      <c r="K1513" s="3" t="str">
        <f t="shared" si="143"/>
        <v>Normal</v>
      </c>
      <c r="L1513" s="4">
        <f>VALUE(A1513)</f>
        <v>43587</v>
      </c>
    </row>
    <row r="1514" spans="1:12">
      <c r="A1514" s="5">
        <v>43588</v>
      </c>
      <c r="B1514" s="3">
        <v>1962.459961</v>
      </c>
      <c r="C1514" s="3">
        <v>279.75</v>
      </c>
      <c r="D1514" s="3">
        <v>5840.080078</v>
      </c>
      <c r="E1514" s="3">
        <v>385.02999899999998</v>
      </c>
      <c r="F1514" s="3">
        <f t="shared" si="138"/>
        <v>2019</v>
      </c>
      <c r="G1514" s="3" t="str">
        <f t="shared" si="139"/>
        <v>May</v>
      </c>
      <c r="H1514" s="3" t="str">
        <f t="shared" si="140"/>
        <v>Q2</v>
      </c>
      <c r="I1514" s="3">
        <f t="shared" si="141"/>
        <v>-6.0688687854457968E-3</v>
      </c>
      <c r="J1514" s="3">
        <f t="shared" si="142"/>
        <v>-3.5119816382763996E-3</v>
      </c>
      <c r="K1514" s="3" t="str">
        <f t="shared" si="143"/>
        <v>Normal</v>
      </c>
      <c r="L1514" s="4">
        <f>VALUE(A1514)</f>
        <v>43588</v>
      </c>
    </row>
    <row r="1515" spans="1:12">
      <c r="A1515" s="5">
        <v>43591</v>
      </c>
      <c r="B1515" s="3">
        <v>1950.5500489999999</v>
      </c>
      <c r="C1515" s="3">
        <v>282.01998900000001</v>
      </c>
      <c r="D1515" s="3">
        <v>5819.5698240000002</v>
      </c>
      <c r="E1515" s="3">
        <v>378.67001299999998</v>
      </c>
      <c r="F1515" s="3">
        <f t="shared" si="138"/>
        <v>2019</v>
      </c>
      <c r="G1515" s="3" t="str">
        <f t="shared" si="139"/>
        <v>May</v>
      </c>
      <c r="H1515" s="3" t="str">
        <f t="shared" si="140"/>
        <v>Q2</v>
      </c>
      <c r="I1515" s="3">
        <f t="shared" si="141"/>
        <v>-1.5149597937848118E-2</v>
      </c>
      <c r="J1515" s="3">
        <f t="shared" si="142"/>
        <v>3.0782367497546398E-2</v>
      </c>
      <c r="K1515" s="3" t="str">
        <f t="shared" si="143"/>
        <v>Normal</v>
      </c>
      <c r="L1515" s="4">
        <f>VALUE(A1515)</f>
        <v>43591</v>
      </c>
    </row>
    <row r="1516" spans="1:12">
      <c r="A1516" s="5">
        <v>43592</v>
      </c>
      <c r="B1516" s="3">
        <v>1921</v>
      </c>
      <c r="C1516" s="3">
        <v>277.39001500000001</v>
      </c>
      <c r="D1516" s="3">
        <v>5998.7099609999996</v>
      </c>
      <c r="E1516" s="3">
        <v>370.459991</v>
      </c>
      <c r="F1516" s="3">
        <f t="shared" si="138"/>
        <v>2019</v>
      </c>
      <c r="G1516" s="3" t="str">
        <f t="shared" si="139"/>
        <v>May</v>
      </c>
      <c r="H1516" s="3" t="str">
        <f t="shared" si="140"/>
        <v>Q2</v>
      </c>
      <c r="I1516" s="3">
        <f t="shared" si="141"/>
        <v>-1.6814055179594318E-3</v>
      </c>
      <c r="J1516" s="3">
        <f t="shared" si="142"/>
        <v>2.8881209647802143E-2</v>
      </c>
      <c r="K1516" s="3" t="str">
        <f t="shared" si="143"/>
        <v>Normal</v>
      </c>
      <c r="L1516" s="4">
        <f>VALUE(A1516)</f>
        <v>43592</v>
      </c>
    </row>
    <row r="1517" spans="1:12">
      <c r="A1517" s="5">
        <v>43593</v>
      </c>
      <c r="B1517" s="3">
        <v>1917.7700199999999</v>
      </c>
      <c r="C1517" s="3">
        <v>283.14999399999999</v>
      </c>
      <c r="D1517" s="3">
        <v>6171.9599609999996</v>
      </c>
      <c r="E1517" s="3">
        <v>364.36999500000002</v>
      </c>
      <c r="F1517" s="3">
        <f t="shared" si="138"/>
        <v>2019</v>
      </c>
      <c r="G1517" s="3" t="str">
        <f t="shared" si="139"/>
        <v>May</v>
      </c>
      <c r="H1517" s="3" t="str">
        <f t="shared" si="140"/>
        <v>Q2</v>
      </c>
      <c r="I1517" s="3">
        <f t="shared" si="141"/>
        <v>-9.3337703756574079E-3</v>
      </c>
      <c r="J1517" s="3">
        <f t="shared" si="142"/>
        <v>3.0189774265776525E-2</v>
      </c>
      <c r="K1517" s="3" t="str">
        <f t="shared" si="143"/>
        <v>Normal</v>
      </c>
      <c r="L1517" s="4">
        <f>VALUE(A1517)</f>
        <v>43593</v>
      </c>
    </row>
    <row r="1518" spans="1:12">
      <c r="A1518" s="5">
        <v>43594</v>
      </c>
      <c r="B1518" s="3">
        <v>1899.869995</v>
      </c>
      <c r="C1518" s="3">
        <v>282.16000400000001</v>
      </c>
      <c r="D1518" s="3">
        <v>6358.2900390000004</v>
      </c>
      <c r="E1518" s="3">
        <v>362.75</v>
      </c>
      <c r="F1518" s="3">
        <f t="shared" si="138"/>
        <v>2019</v>
      </c>
      <c r="G1518" s="3" t="str">
        <f t="shared" si="139"/>
        <v>May</v>
      </c>
      <c r="H1518" s="3" t="str">
        <f t="shared" si="140"/>
        <v>Q2</v>
      </c>
      <c r="I1518" s="3">
        <f t="shared" si="141"/>
        <v>-5.2056272408259954E-3</v>
      </c>
      <c r="J1518" s="3">
        <f t="shared" si="142"/>
        <v>0.13102104793744518</v>
      </c>
      <c r="K1518" s="3" t="str">
        <f t="shared" si="143"/>
        <v>High Volatility</v>
      </c>
      <c r="L1518" s="4">
        <f>VALUE(A1518)</f>
        <v>43594</v>
      </c>
    </row>
    <row r="1519" spans="1:12">
      <c r="A1519" s="5">
        <v>43595</v>
      </c>
      <c r="B1519" s="3">
        <v>1889.9799800000001</v>
      </c>
      <c r="C1519" s="3">
        <v>278.36999500000002</v>
      </c>
      <c r="D1519" s="3">
        <v>7191.3598629999997</v>
      </c>
      <c r="E1519" s="3">
        <v>361.040009</v>
      </c>
      <c r="F1519" s="3">
        <f t="shared" si="138"/>
        <v>2019</v>
      </c>
      <c r="G1519" s="3" t="str">
        <f t="shared" si="139"/>
        <v>May</v>
      </c>
      <c r="H1519" s="3" t="str">
        <f t="shared" si="140"/>
        <v>Q2</v>
      </c>
      <c r="I1519" s="3">
        <f t="shared" si="141"/>
        <v>-3.5608803644576248E-2</v>
      </c>
      <c r="J1519" s="3">
        <f t="shared" si="142"/>
        <v>0.10968301336973435</v>
      </c>
      <c r="K1519" s="3" t="str">
        <f t="shared" si="143"/>
        <v>High Volatility</v>
      </c>
      <c r="L1519" s="4">
        <f>VALUE(A1519)</f>
        <v>43595</v>
      </c>
    </row>
    <row r="1520" spans="1:12">
      <c r="A1520" s="5">
        <v>43598</v>
      </c>
      <c r="B1520" s="3">
        <v>1822.6800539999999</v>
      </c>
      <c r="C1520" s="3">
        <v>273.88000499999998</v>
      </c>
      <c r="D1520" s="3">
        <v>7980.1298829999996</v>
      </c>
      <c r="E1520" s="3">
        <v>345.26001000000002</v>
      </c>
      <c r="F1520" s="3">
        <f t="shared" si="138"/>
        <v>2019</v>
      </c>
      <c r="G1520" s="3" t="str">
        <f t="shared" si="139"/>
        <v>May</v>
      </c>
      <c r="H1520" s="3" t="str">
        <f t="shared" si="140"/>
        <v>Q2</v>
      </c>
      <c r="I1520" s="3">
        <f t="shared" si="141"/>
        <v>9.5682953032414607E-3</v>
      </c>
      <c r="J1520" s="3">
        <f t="shared" si="142"/>
        <v>2.5525924763949152E-2</v>
      </c>
      <c r="K1520" s="3" t="str">
        <f t="shared" si="143"/>
        <v>Normal</v>
      </c>
      <c r="L1520" s="4">
        <f>VALUE(A1520)</f>
        <v>43598</v>
      </c>
    </row>
    <row r="1521" spans="1:12">
      <c r="A1521" s="5">
        <v>43599</v>
      </c>
      <c r="B1521" s="3">
        <v>1840.119995</v>
      </c>
      <c r="C1521" s="3">
        <v>272.85998499999999</v>
      </c>
      <c r="D1521" s="3">
        <v>8183.830078</v>
      </c>
      <c r="E1521" s="3">
        <v>345.60998499999999</v>
      </c>
      <c r="F1521" s="3">
        <f t="shared" si="138"/>
        <v>2019</v>
      </c>
      <c r="G1521" s="3" t="str">
        <f t="shared" si="139"/>
        <v>May</v>
      </c>
      <c r="H1521" s="3" t="str">
        <f t="shared" si="140"/>
        <v>Q2</v>
      </c>
      <c r="I1521" s="3">
        <f t="shared" si="141"/>
        <v>-1</v>
      </c>
      <c r="J1521" s="3">
        <f t="shared" si="142"/>
        <v>-1</v>
      </c>
      <c r="K1521" s="3" t="str">
        <f t="shared" si="143"/>
        <v>High Volatility</v>
      </c>
      <c r="L1521" s="4">
        <f>VALUE(A1521)</f>
        <v>43599</v>
      </c>
    </row>
  </sheetData>
  <conditionalFormatting sqref="D1: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J1:J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K1:K1048576">
    <cfRule type="containsText" dxfId="0" priority="1" operator="containsText" text="High Volatility">
      <formula>NOT(ISERROR(SEARCH("High Volatility",K1)))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7E57-8C84-4CBA-8774-BEE0D2D39FFB}">
  <dimension ref="A3:E11"/>
  <sheetViews>
    <sheetView workbookViewId="0">
      <selection sqref="A1:I35"/>
    </sheetView>
  </sheetViews>
  <sheetFormatPr defaultRowHeight="12.75"/>
  <cols>
    <col min="1" max="1" width="11.5703125" bestFit="1" customWidth="1"/>
    <col min="2" max="2" width="15.140625" bestFit="1" customWidth="1"/>
    <col min="3" max="3" width="16.28515625" bestFit="1" customWidth="1"/>
    <col min="4" max="4" width="15.28515625" bestFit="1" customWidth="1"/>
    <col min="5" max="5" width="16.7109375" bestFit="1" customWidth="1"/>
  </cols>
  <sheetData>
    <row r="3" spans="1:5">
      <c r="A3" s="12" t="s">
        <v>5</v>
      </c>
      <c r="B3" t="s">
        <v>16</v>
      </c>
      <c r="C3" t="s">
        <v>17</v>
      </c>
      <c r="D3" t="s">
        <v>18</v>
      </c>
      <c r="E3" t="s">
        <v>19</v>
      </c>
    </row>
    <row r="4" spans="1:5">
      <c r="A4">
        <v>2013</v>
      </c>
      <c r="B4" s="1">
        <v>60.223759635294108</v>
      </c>
      <c r="C4" s="1">
        <v>40.823025000000001</v>
      </c>
      <c r="D4" s="1">
        <v>268.08811821764704</v>
      </c>
      <c r="E4" s="1">
        <v>313.85282430588234</v>
      </c>
    </row>
    <row r="5" spans="1:5">
      <c r="A5">
        <v>2014</v>
      </c>
      <c r="B5" s="1">
        <v>74.058892924603143</v>
      </c>
      <c r="C5" s="1">
        <v>57.495119043650796</v>
      </c>
      <c r="D5" s="1">
        <v>521.88214262301551</v>
      </c>
      <c r="E5" s="1">
        <v>332.55103267857135</v>
      </c>
    </row>
    <row r="6" spans="1:5">
      <c r="A6">
        <v>2015</v>
      </c>
      <c r="B6" s="1">
        <v>102.73598665476194</v>
      </c>
      <c r="C6" s="1">
        <v>91.895674408730258</v>
      </c>
      <c r="D6" s="1">
        <v>272.11694412301586</v>
      </c>
      <c r="E6" s="1">
        <v>478.13829512698419</v>
      </c>
    </row>
    <row r="7" spans="1:5">
      <c r="A7">
        <v>2016</v>
      </c>
      <c r="B7" s="1">
        <v>135.24066761904763</v>
      </c>
      <c r="C7" s="1">
        <v>102.03035719841262</v>
      </c>
      <c r="D7" s="1">
        <v>567.78301724603182</v>
      </c>
      <c r="E7" s="1">
        <v>699.5231348611112</v>
      </c>
    </row>
    <row r="8" spans="1:5">
      <c r="A8">
        <v>2017</v>
      </c>
      <c r="B8" s="1">
        <v>186.01384209163348</v>
      </c>
      <c r="C8" s="1">
        <v>165.37426305976106</v>
      </c>
      <c r="D8" s="1">
        <v>3981.5319698007947</v>
      </c>
      <c r="E8" s="1">
        <v>968.16701164541848</v>
      </c>
    </row>
    <row r="9" spans="1:5">
      <c r="A9">
        <v>2018</v>
      </c>
      <c r="B9" s="1">
        <v>252.84710825498021</v>
      </c>
      <c r="C9" s="1">
        <v>319.29031900796809</v>
      </c>
      <c r="D9" s="1">
        <v>7524.1075397729019</v>
      </c>
      <c r="E9" s="1">
        <v>1641.7261758486059</v>
      </c>
    </row>
    <row r="10" spans="1:5">
      <c r="A10">
        <v>2019</v>
      </c>
      <c r="B10" s="1">
        <v>261.607397673913</v>
      </c>
      <c r="C10" s="1">
        <v>353.33608704347824</v>
      </c>
      <c r="D10" s="1">
        <v>4390.9590109239125</v>
      </c>
      <c r="E10" s="1">
        <v>1736.2156531739131</v>
      </c>
    </row>
    <row r="11" spans="1:5">
      <c r="A11" t="s">
        <v>20</v>
      </c>
      <c r="B11" s="1">
        <v>146.7716948388157</v>
      </c>
      <c r="C11" s="1">
        <v>147.66827257960543</v>
      </c>
      <c r="D11" s="1">
        <v>2421.4656685598711</v>
      </c>
      <c r="E11" s="1">
        <v>821.54180978750026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DCB2-0EEA-4714-9705-2C9B0686357B}">
  <dimension ref="A3:C36"/>
  <sheetViews>
    <sheetView workbookViewId="0">
      <selection sqref="A1:J50"/>
    </sheetView>
  </sheetViews>
  <sheetFormatPr defaultRowHeight="12.75"/>
  <cols>
    <col min="1" max="1" width="11.5703125" bestFit="1" customWidth="1"/>
    <col min="2" max="2" width="13" bestFit="1" customWidth="1"/>
    <col min="3" max="3" width="15.28515625" bestFit="1" customWidth="1"/>
  </cols>
  <sheetData>
    <row r="3" spans="1:3">
      <c r="A3" s="12" t="s">
        <v>5</v>
      </c>
      <c r="B3" s="12" t="s">
        <v>7</v>
      </c>
      <c r="C3" t="s">
        <v>18</v>
      </c>
    </row>
    <row r="4" spans="1:3">
      <c r="A4">
        <v>2013</v>
      </c>
      <c r="B4" t="s">
        <v>21</v>
      </c>
      <c r="C4" s="1">
        <v>113.80928635714284</v>
      </c>
    </row>
    <row r="5" spans="1:3">
      <c r="B5" t="s">
        <v>22</v>
      </c>
      <c r="C5" s="1">
        <v>114.10703117187502</v>
      </c>
    </row>
    <row r="6" spans="1:3">
      <c r="B6" t="s">
        <v>23</v>
      </c>
      <c r="C6" s="1">
        <v>523.31468867187505</v>
      </c>
    </row>
    <row r="7" spans="1:3">
      <c r="A7" t="s">
        <v>24</v>
      </c>
      <c r="C7" s="1">
        <v>268.08811821764704</v>
      </c>
    </row>
    <row r="8" spans="1:3">
      <c r="A8">
        <v>2014</v>
      </c>
      <c r="B8" t="s">
        <v>25</v>
      </c>
      <c r="C8" s="1">
        <v>681.45278708196736</v>
      </c>
    </row>
    <row r="9" spans="1:3">
      <c r="B9" t="s">
        <v>21</v>
      </c>
      <c r="C9" s="1">
        <v>522.68745933333344</v>
      </c>
    </row>
    <row r="10" spans="1:3">
      <c r="B10" t="s">
        <v>22</v>
      </c>
      <c r="C10" s="1">
        <v>533.42156315625016</v>
      </c>
    </row>
    <row r="11" spans="1:3">
      <c r="B11" t="s">
        <v>23</v>
      </c>
      <c r="C11" s="1">
        <v>357.45921795312495</v>
      </c>
    </row>
    <row r="12" spans="1:3">
      <c r="A12" t="s">
        <v>26</v>
      </c>
      <c r="C12" s="1">
        <v>521.88214262301551</v>
      </c>
    </row>
    <row r="13" spans="1:3">
      <c r="A13">
        <v>2015</v>
      </c>
      <c r="B13" t="s">
        <v>25</v>
      </c>
      <c r="C13" s="1">
        <v>250.72721204918031</v>
      </c>
    </row>
    <row r="14" spans="1:3">
      <c r="B14" t="s">
        <v>21</v>
      </c>
      <c r="C14" s="1">
        <v>236.60412692063497</v>
      </c>
    </row>
    <row r="15" spans="1:3">
      <c r="B15" t="s">
        <v>22</v>
      </c>
      <c r="C15" s="1">
        <v>253.99374939062503</v>
      </c>
    </row>
    <row r="16" spans="1:3">
      <c r="B16" t="s">
        <v>23</v>
      </c>
      <c r="C16" s="1">
        <v>345.58515667187504</v>
      </c>
    </row>
    <row r="17" spans="1:3">
      <c r="A17" t="s">
        <v>27</v>
      </c>
      <c r="C17" s="1">
        <v>272.11694412301586</v>
      </c>
    </row>
    <row r="18" spans="1:3">
      <c r="A18">
        <v>2016</v>
      </c>
      <c r="B18" t="s">
        <v>25</v>
      </c>
      <c r="C18" s="1">
        <v>410.25131227868866</v>
      </c>
    </row>
    <row r="19" spans="1:3">
      <c r="B19" t="s">
        <v>21</v>
      </c>
      <c r="C19" s="1">
        <v>512.84140879687493</v>
      </c>
    </row>
    <row r="20" spans="1:3">
      <c r="B20" t="s">
        <v>22</v>
      </c>
      <c r="C20" s="1">
        <v>612.65406224999992</v>
      </c>
    </row>
    <row r="21" spans="1:3">
      <c r="B21" t="s">
        <v>23</v>
      </c>
      <c r="C21" s="1">
        <v>730.54412936507924</v>
      </c>
    </row>
    <row r="22" spans="1:3">
      <c r="A22" t="s">
        <v>28</v>
      </c>
      <c r="C22" s="1">
        <v>567.78301724603182</v>
      </c>
    </row>
    <row r="23" spans="1:3">
      <c r="A23">
        <v>2017</v>
      </c>
      <c r="B23" t="s">
        <v>25</v>
      </c>
      <c r="C23" s="1">
        <v>1041.9640364999998</v>
      </c>
    </row>
    <row r="24" spans="1:3">
      <c r="B24" t="s">
        <v>21</v>
      </c>
      <c r="C24" s="1">
        <v>1951.8736650158726</v>
      </c>
    </row>
    <row r="25" spans="1:3">
      <c r="B25" t="s">
        <v>22</v>
      </c>
      <c r="C25" s="1">
        <v>3525.4628654126982</v>
      </c>
    </row>
    <row r="26" spans="1:3">
      <c r="B26" t="s">
        <v>23</v>
      </c>
      <c r="C26" s="1">
        <v>9360.1675038095236</v>
      </c>
    </row>
    <row r="27" spans="1:3">
      <c r="A27" t="s">
        <v>29</v>
      </c>
      <c r="C27" s="1">
        <v>3981.5319698007947</v>
      </c>
    </row>
    <row r="28" spans="1:3">
      <c r="A28">
        <v>2018</v>
      </c>
      <c r="B28" t="s">
        <v>25</v>
      </c>
      <c r="C28" s="1">
        <v>10369.980173311473</v>
      </c>
    </row>
    <row r="29" spans="1:3">
      <c r="B29" t="s">
        <v>21</v>
      </c>
      <c r="C29" s="1">
        <v>7745.704368624999</v>
      </c>
    </row>
    <row r="30" spans="1:3">
      <c r="B30" t="s">
        <v>22</v>
      </c>
      <c r="C30" s="1">
        <v>6802.7120768730156</v>
      </c>
    </row>
    <row r="31" spans="1:3">
      <c r="B31" t="s">
        <v>23</v>
      </c>
      <c r="C31" s="1">
        <v>5264.8612932698416</v>
      </c>
    </row>
    <row r="32" spans="1:3">
      <c r="A32" t="s">
        <v>30</v>
      </c>
      <c r="C32" s="1">
        <v>7524.1075397729019</v>
      </c>
    </row>
    <row r="33" spans="1:3">
      <c r="A33">
        <v>2019</v>
      </c>
      <c r="B33" t="s">
        <v>25</v>
      </c>
      <c r="C33" s="1">
        <v>3772.8486808360653</v>
      </c>
    </row>
    <row r="34" spans="1:3">
      <c r="B34" t="s">
        <v>21</v>
      </c>
      <c r="C34" s="1">
        <v>5607.2406281935464</v>
      </c>
    </row>
    <row r="35" spans="1:3">
      <c r="A35" t="s">
        <v>31</v>
      </c>
      <c r="C35" s="1">
        <v>4390.9590109239125</v>
      </c>
    </row>
    <row r="36" spans="1:3">
      <c r="A36" t="s">
        <v>20</v>
      </c>
      <c r="C36" s="1">
        <v>2421.4656685598711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AA08-CF06-49F4-80E8-1DE651016DD6}">
  <dimension ref="A1:B70"/>
  <sheetViews>
    <sheetView tabSelected="1" workbookViewId="0">
      <selection activeCell="B32" sqref="B32"/>
    </sheetView>
  </sheetViews>
  <sheetFormatPr defaultRowHeight="12.75"/>
  <cols>
    <col min="1" max="1" width="35.5703125" style="2" customWidth="1"/>
    <col min="2" max="2" width="63.140625" style="3" customWidth="1"/>
  </cols>
  <sheetData>
    <row r="1" spans="1:2" ht="23.25">
      <c r="A1" s="13" t="s">
        <v>32</v>
      </c>
      <c r="B1" s="13"/>
    </row>
    <row r="3" spans="1:2">
      <c r="A3" s="2" t="s">
        <v>33</v>
      </c>
      <c r="B3" s="3" t="str">
        <f>TEXT(MAX(RawData!D:D),"$#,##0.00")</f>
        <v>$18,972.32</v>
      </c>
    </row>
    <row r="4" spans="1:2">
      <c r="A4" s="2" t="s">
        <v>34</v>
      </c>
      <c r="B4" s="3" t="str">
        <f>TEXT(MIN(RawData!D:D),"$#,##0.00")</f>
        <v>$69.66</v>
      </c>
    </row>
    <row r="5" spans="1:2">
      <c r="A5" s="2" t="s">
        <v>35</v>
      </c>
      <c r="B5" s="3" t="str">
        <f>TEXT((MAX(RawData!B:B)-MIN(RawData!B:B))/MIN(RawData!B:B),"0.0%")</f>
        <v>721.6%</v>
      </c>
    </row>
    <row r="6" spans="1:2">
      <c r="A6" s="2" t="s">
        <v>36</v>
      </c>
      <c r="B6" s="3">
        <f>RawData!N2</f>
        <v>579</v>
      </c>
    </row>
    <row r="7" spans="1:2">
      <c r="A7" s="2" t="s">
        <v>37</v>
      </c>
      <c r="B7" s="3">
        <f>RawData!M2</f>
        <v>120490.85037200002</v>
      </c>
    </row>
    <row r="70" spans="2:2">
      <c r="B70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2026-08-14T11:07:14Z</dcterms:created>
  <dcterms:modified xsi:type="dcterms:W3CDTF">2026-08-14T11:07:14Z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